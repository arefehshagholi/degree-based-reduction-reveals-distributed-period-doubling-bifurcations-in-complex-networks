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mart Ambulance\Desktop\paper1_source_organized\data\"/>
    </mc:Choice>
  </mc:AlternateContent>
  <xr:revisionPtr revIDLastSave="0" documentId="13_ncr:1_{041612FE-3D8F-4C6F-B4CE-B2F34579544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ossler system " sheetId="1" r:id="rId1"/>
    <sheet name="mChialvo system " sheetId="2" r:id="rId2"/>
    <sheet name="Henon system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I3" i="3"/>
  <c r="K3" i="3"/>
  <c r="L3" i="3"/>
  <c r="H4" i="3"/>
  <c r="I4" i="3"/>
  <c r="K4" i="3"/>
  <c r="L4" i="3"/>
  <c r="H5" i="3"/>
  <c r="I5" i="3"/>
  <c r="K5" i="3"/>
  <c r="M5" i="3" s="1"/>
  <c r="L5" i="3"/>
  <c r="H6" i="3"/>
  <c r="J6" i="3" s="1"/>
  <c r="I6" i="3"/>
  <c r="K6" i="3"/>
  <c r="L6" i="3"/>
  <c r="H7" i="3"/>
  <c r="I7" i="3"/>
  <c r="K7" i="3"/>
  <c r="L7" i="3"/>
  <c r="H8" i="3"/>
  <c r="I8" i="3"/>
  <c r="K8" i="3"/>
  <c r="L8" i="3"/>
  <c r="H9" i="3"/>
  <c r="I9" i="3"/>
  <c r="K9" i="3"/>
  <c r="M9" i="3" s="1"/>
  <c r="L9" i="3"/>
  <c r="H10" i="3"/>
  <c r="I10" i="3"/>
  <c r="K10" i="3"/>
  <c r="L10" i="3"/>
  <c r="H11" i="3"/>
  <c r="I11" i="3"/>
  <c r="K11" i="3"/>
  <c r="L11" i="3"/>
  <c r="H12" i="3"/>
  <c r="I12" i="3"/>
  <c r="K12" i="3"/>
  <c r="L12" i="3"/>
  <c r="H13" i="3"/>
  <c r="I13" i="3"/>
  <c r="K13" i="3"/>
  <c r="M13" i="3" s="1"/>
  <c r="L13" i="3"/>
  <c r="H14" i="3"/>
  <c r="J14" i="3" s="1"/>
  <c r="I14" i="3"/>
  <c r="K14" i="3"/>
  <c r="M14" i="3" s="1"/>
  <c r="L14" i="3"/>
  <c r="H15" i="3"/>
  <c r="I15" i="3"/>
  <c r="K15" i="3"/>
  <c r="L15" i="3"/>
  <c r="H16" i="3"/>
  <c r="J16" i="3" s="1"/>
  <c r="I16" i="3"/>
  <c r="K16" i="3"/>
  <c r="L16" i="3"/>
  <c r="H17" i="3"/>
  <c r="I17" i="3"/>
  <c r="K17" i="3"/>
  <c r="L17" i="3"/>
  <c r="H18" i="3"/>
  <c r="J18" i="3" s="1"/>
  <c r="I18" i="3"/>
  <c r="K18" i="3"/>
  <c r="M18" i="3" s="1"/>
  <c r="L18" i="3"/>
  <c r="H19" i="3"/>
  <c r="I19" i="3"/>
  <c r="J19" i="3" s="1"/>
  <c r="K19" i="3"/>
  <c r="L19" i="3"/>
  <c r="H20" i="3"/>
  <c r="J20" i="3" s="1"/>
  <c r="I20" i="3"/>
  <c r="K20" i="3"/>
  <c r="L20" i="3"/>
  <c r="H21" i="3"/>
  <c r="I21" i="3"/>
  <c r="K21" i="3"/>
  <c r="L21" i="3"/>
  <c r="H22" i="3"/>
  <c r="J22" i="3" s="1"/>
  <c r="I22" i="3"/>
  <c r="K22" i="3"/>
  <c r="L22" i="3"/>
  <c r="H23" i="3"/>
  <c r="I23" i="3"/>
  <c r="K23" i="3"/>
  <c r="L23" i="3"/>
  <c r="H24" i="3"/>
  <c r="I24" i="3"/>
  <c r="K24" i="3"/>
  <c r="L24" i="3"/>
  <c r="H25" i="3"/>
  <c r="I25" i="3"/>
  <c r="J25" i="3" s="1"/>
  <c r="K25" i="3"/>
  <c r="L25" i="3"/>
  <c r="M25" i="3" s="1"/>
  <c r="H26" i="3"/>
  <c r="I26" i="3"/>
  <c r="K26" i="3"/>
  <c r="L26" i="3"/>
  <c r="H27" i="3"/>
  <c r="I27" i="3"/>
  <c r="K27" i="3"/>
  <c r="L27" i="3"/>
  <c r="M27" i="3"/>
  <c r="H28" i="3"/>
  <c r="J28" i="3" s="1"/>
  <c r="I28" i="3"/>
  <c r="K28" i="3"/>
  <c r="L28" i="3"/>
  <c r="H29" i="3"/>
  <c r="I29" i="3"/>
  <c r="K29" i="3"/>
  <c r="L29" i="3"/>
  <c r="H30" i="3"/>
  <c r="I30" i="3"/>
  <c r="K30" i="3"/>
  <c r="L30" i="3"/>
  <c r="H31" i="3"/>
  <c r="I31" i="3"/>
  <c r="K31" i="3"/>
  <c r="L31" i="3"/>
  <c r="H32" i="3"/>
  <c r="I32" i="3"/>
  <c r="K32" i="3"/>
  <c r="L32" i="3"/>
  <c r="H33" i="3"/>
  <c r="I33" i="3"/>
  <c r="K33" i="3"/>
  <c r="M33" i="3" s="1"/>
  <c r="L33" i="3"/>
  <c r="H34" i="3"/>
  <c r="I34" i="3"/>
  <c r="K34" i="3"/>
  <c r="L34" i="3"/>
  <c r="H35" i="3"/>
  <c r="I35" i="3"/>
  <c r="J35" i="3" s="1"/>
  <c r="K35" i="3"/>
  <c r="L35" i="3"/>
  <c r="H36" i="3"/>
  <c r="I36" i="3"/>
  <c r="K36" i="3"/>
  <c r="L36" i="3"/>
  <c r="H37" i="3"/>
  <c r="I37" i="3"/>
  <c r="J37" i="3" s="1"/>
  <c r="K37" i="3"/>
  <c r="L37" i="3"/>
  <c r="H38" i="3"/>
  <c r="I38" i="3"/>
  <c r="K38" i="3"/>
  <c r="L38" i="3"/>
  <c r="H39" i="3"/>
  <c r="I39" i="3"/>
  <c r="K39" i="3"/>
  <c r="M39" i="3" s="1"/>
  <c r="L39" i="3"/>
  <c r="H40" i="3"/>
  <c r="I40" i="3"/>
  <c r="K40" i="3"/>
  <c r="L40" i="3"/>
  <c r="H41" i="3"/>
  <c r="I41" i="3"/>
  <c r="K41" i="3"/>
  <c r="L41" i="3"/>
  <c r="H42" i="3"/>
  <c r="I42" i="3"/>
  <c r="K42" i="3"/>
  <c r="L42" i="3"/>
  <c r="H43" i="3"/>
  <c r="I43" i="3"/>
  <c r="K43" i="3"/>
  <c r="M43" i="3" s="1"/>
  <c r="L43" i="3"/>
  <c r="H44" i="3"/>
  <c r="I44" i="3"/>
  <c r="K44" i="3"/>
  <c r="L44" i="3"/>
  <c r="H45" i="3"/>
  <c r="I45" i="3"/>
  <c r="J45" i="3" s="1"/>
  <c r="K45" i="3"/>
  <c r="M45" i="3" s="1"/>
  <c r="L45" i="3"/>
  <c r="H46" i="3"/>
  <c r="I46" i="3"/>
  <c r="K46" i="3"/>
  <c r="L46" i="3"/>
  <c r="H47" i="3"/>
  <c r="I47" i="3"/>
  <c r="K47" i="3"/>
  <c r="L47" i="3"/>
  <c r="H48" i="3"/>
  <c r="I48" i="3"/>
  <c r="K48" i="3"/>
  <c r="L48" i="3"/>
  <c r="H49" i="3"/>
  <c r="I49" i="3"/>
  <c r="K49" i="3"/>
  <c r="M49" i="3" s="1"/>
  <c r="L49" i="3"/>
  <c r="H50" i="3"/>
  <c r="I50" i="3"/>
  <c r="K50" i="3"/>
  <c r="L50" i="3"/>
  <c r="H51" i="3"/>
  <c r="I51" i="3"/>
  <c r="K51" i="3"/>
  <c r="L51" i="3"/>
  <c r="H52" i="3"/>
  <c r="I52" i="3"/>
  <c r="K52" i="3"/>
  <c r="L52" i="3"/>
  <c r="H53" i="3"/>
  <c r="I53" i="3"/>
  <c r="K53" i="3"/>
  <c r="M53" i="3" s="1"/>
  <c r="L53" i="3"/>
  <c r="H54" i="3"/>
  <c r="I54" i="3"/>
  <c r="K54" i="3"/>
  <c r="L54" i="3"/>
  <c r="H55" i="3"/>
  <c r="I55" i="3"/>
  <c r="K55" i="3"/>
  <c r="L55" i="3"/>
  <c r="H56" i="3"/>
  <c r="I56" i="3"/>
  <c r="K56" i="3"/>
  <c r="L56" i="3"/>
  <c r="H57" i="3"/>
  <c r="I57" i="3"/>
  <c r="K57" i="3"/>
  <c r="L57" i="3"/>
  <c r="H58" i="3"/>
  <c r="I58" i="3"/>
  <c r="K58" i="3"/>
  <c r="L58" i="3"/>
  <c r="H59" i="3"/>
  <c r="I59" i="3"/>
  <c r="K59" i="3"/>
  <c r="M59" i="3" s="1"/>
  <c r="L59" i="3"/>
  <c r="H60" i="3"/>
  <c r="J60" i="3" s="1"/>
  <c r="I60" i="3"/>
  <c r="K60" i="3"/>
  <c r="L60" i="3"/>
  <c r="H61" i="3"/>
  <c r="I61" i="3"/>
  <c r="K61" i="3"/>
  <c r="L61" i="3"/>
  <c r="H62" i="3"/>
  <c r="I62" i="3"/>
  <c r="K62" i="3"/>
  <c r="L62" i="3"/>
  <c r="H63" i="3"/>
  <c r="I63" i="3"/>
  <c r="J63" i="3" s="1"/>
  <c r="K63" i="3"/>
  <c r="L63" i="3"/>
  <c r="H64" i="3"/>
  <c r="I64" i="3"/>
  <c r="K64" i="3"/>
  <c r="L64" i="3"/>
  <c r="H65" i="3"/>
  <c r="I65" i="3"/>
  <c r="K65" i="3"/>
  <c r="L65" i="3"/>
  <c r="H66" i="3"/>
  <c r="I66" i="3"/>
  <c r="K66" i="3"/>
  <c r="L66" i="3"/>
  <c r="H67" i="3"/>
  <c r="I67" i="3"/>
  <c r="J67" i="3" s="1"/>
  <c r="K67" i="3"/>
  <c r="L67" i="3"/>
  <c r="H68" i="3"/>
  <c r="I68" i="3"/>
  <c r="K68" i="3"/>
  <c r="L68" i="3"/>
  <c r="H69" i="3"/>
  <c r="I69" i="3"/>
  <c r="K69" i="3"/>
  <c r="L69" i="3"/>
  <c r="H70" i="3"/>
  <c r="I70" i="3"/>
  <c r="K70" i="3"/>
  <c r="L70" i="3"/>
  <c r="H71" i="3"/>
  <c r="I71" i="3"/>
  <c r="K71" i="3"/>
  <c r="L71" i="3"/>
  <c r="H72" i="3"/>
  <c r="I72" i="3"/>
  <c r="K72" i="3"/>
  <c r="L72" i="3"/>
  <c r="H73" i="3"/>
  <c r="I73" i="3"/>
  <c r="K73" i="3"/>
  <c r="L73" i="3"/>
  <c r="H74" i="3"/>
  <c r="I74" i="3"/>
  <c r="K74" i="3"/>
  <c r="M74" i="3" s="1"/>
  <c r="L74" i="3"/>
  <c r="H75" i="3"/>
  <c r="I75" i="3"/>
  <c r="K75" i="3"/>
  <c r="L75" i="3"/>
  <c r="H76" i="3"/>
  <c r="J76" i="3" s="1"/>
  <c r="I76" i="3"/>
  <c r="K76" i="3"/>
  <c r="L76" i="3"/>
  <c r="H77" i="3"/>
  <c r="I77" i="3"/>
  <c r="K77" i="3"/>
  <c r="M77" i="3" s="1"/>
  <c r="L77" i="3"/>
  <c r="H78" i="3"/>
  <c r="I78" i="3"/>
  <c r="K78" i="3"/>
  <c r="L78" i="3"/>
  <c r="H79" i="3"/>
  <c r="I79" i="3"/>
  <c r="K79" i="3"/>
  <c r="L79" i="3"/>
  <c r="H80" i="3"/>
  <c r="I80" i="3"/>
  <c r="K80" i="3"/>
  <c r="L80" i="3"/>
  <c r="H81" i="3"/>
  <c r="I81" i="3"/>
  <c r="K81" i="3"/>
  <c r="L81" i="3"/>
  <c r="H82" i="3"/>
  <c r="I82" i="3"/>
  <c r="K82" i="3"/>
  <c r="L82" i="3"/>
  <c r="H83" i="3"/>
  <c r="I83" i="3"/>
  <c r="K83" i="3"/>
  <c r="L83" i="3"/>
  <c r="H84" i="3"/>
  <c r="I84" i="3"/>
  <c r="K84" i="3"/>
  <c r="L84" i="3"/>
  <c r="H85" i="3"/>
  <c r="I85" i="3"/>
  <c r="K85" i="3"/>
  <c r="L85" i="3"/>
  <c r="H86" i="3"/>
  <c r="I86" i="3"/>
  <c r="K86" i="3"/>
  <c r="L86" i="3"/>
  <c r="H87" i="3"/>
  <c r="I87" i="3"/>
  <c r="K87" i="3"/>
  <c r="L87" i="3"/>
  <c r="H88" i="3"/>
  <c r="I88" i="3"/>
  <c r="K88" i="3"/>
  <c r="L88" i="3"/>
  <c r="H89" i="3"/>
  <c r="I89" i="3"/>
  <c r="K89" i="3"/>
  <c r="L89" i="3"/>
  <c r="H90" i="3"/>
  <c r="I90" i="3"/>
  <c r="K90" i="3"/>
  <c r="L90" i="3"/>
  <c r="H91" i="3"/>
  <c r="I91" i="3"/>
  <c r="K91" i="3"/>
  <c r="L91" i="3"/>
  <c r="H92" i="3"/>
  <c r="I92" i="3"/>
  <c r="K92" i="3"/>
  <c r="L92" i="3"/>
  <c r="H93" i="3"/>
  <c r="I93" i="3"/>
  <c r="K93" i="3"/>
  <c r="M93" i="3" s="1"/>
  <c r="L93" i="3"/>
  <c r="H94" i="3"/>
  <c r="I94" i="3"/>
  <c r="K94" i="3"/>
  <c r="L94" i="3"/>
  <c r="H95" i="3"/>
  <c r="I95" i="3"/>
  <c r="K95" i="3"/>
  <c r="L95" i="3"/>
  <c r="H96" i="3"/>
  <c r="I96" i="3"/>
  <c r="K96" i="3"/>
  <c r="L96" i="3"/>
  <c r="H97" i="3"/>
  <c r="I97" i="3"/>
  <c r="K97" i="3"/>
  <c r="L97" i="3"/>
  <c r="H98" i="3"/>
  <c r="I98" i="3"/>
  <c r="K98" i="3"/>
  <c r="L98" i="3"/>
  <c r="H99" i="3"/>
  <c r="I99" i="3"/>
  <c r="J99" i="3" s="1"/>
  <c r="K99" i="3"/>
  <c r="M99" i="3" s="1"/>
  <c r="L99" i="3"/>
  <c r="H100" i="3"/>
  <c r="I100" i="3"/>
  <c r="K100" i="3"/>
  <c r="L100" i="3"/>
  <c r="H101" i="3"/>
  <c r="I101" i="3"/>
  <c r="K101" i="3"/>
  <c r="M101" i="3" s="1"/>
  <c r="L101" i="3"/>
  <c r="H102" i="3"/>
  <c r="I102" i="3"/>
  <c r="K102" i="3"/>
  <c r="L102" i="3"/>
  <c r="H103" i="3"/>
  <c r="I103" i="3"/>
  <c r="K103" i="3"/>
  <c r="M103" i="3" s="1"/>
  <c r="L103" i="3"/>
  <c r="H104" i="3"/>
  <c r="J104" i="3" s="1"/>
  <c r="I104" i="3"/>
  <c r="K104" i="3"/>
  <c r="L104" i="3"/>
  <c r="H105" i="3"/>
  <c r="I105" i="3"/>
  <c r="K105" i="3"/>
  <c r="M105" i="3" s="1"/>
  <c r="L105" i="3"/>
  <c r="H106" i="3"/>
  <c r="I106" i="3"/>
  <c r="K106" i="3"/>
  <c r="L106" i="3"/>
  <c r="H107" i="3"/>
  <c r="I107" i="3"/>
  <c r="K107" i="3"/>
  <c r="M107" i="3" s="1"/>
  <c r="L107" i="3"/>
  <c r="H108" i="3"/>
  <c r="I108" i="3"/>
  <c r="K108" i="3"/>
  <c r="L108" i="3"/>
  <c r="H109" i="3"/>
  <c r="I109" i="3"/>
  <c r="K109" i="3"/>
  <c r="L109" i="3"/>
  <c r="H110" i="3"/>
  <c r="I110" i="3"/>
  <c r="J110" i="3" s="1"/>
  <c r="K110" i="3"/>
  <c r="L110" i="3"/>
  <c r="H111" i="3"/>
  <c r="I111" i="3"/>
  <c r="K111" i="3"/>
  <c r="L111" i="3"/>
  <c r="H112" i="3"/>
  <c r="I112" i="3"/>
  <c r="J112" i="3" s="1"/>
  <c r="K112" i="3"/>
  <c r="L112" i="3"/>
  <c r="H113" i="3"/>
  <c r="I113" i="3"/>
  <c r="K113" i="3"/>
  <c r="L113" i="3"/>
  <c r="H114" i="3"/>
  <c r="I114" i="3"/>
  <c r="K114" i="3"/>
  <c r="M114" i="3" s="1"/>
  <c r="L114" i="3"/>
  <c r="H115" i="3"/>
  <c r="I115" i="3"/>
  <c r="K115" i="3"/>
  <c r="L115" i="3"/>
  <c r="L2" i="3"/>
  <c r="K2" i="3"/>
  <c r="I2" i="3"/>
  <c r="H2" i="3"/>
  <c r="J2" i="3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M22" i="1" s="1"/>
  <c r="K23" i="1"/>
  <c r="K24" i="1"/>
  <c r="K25" i="1"/>
  <c r="K26" i="1"/>
  <c r="M26" i="1" s="1"/>
  <c r="K27" i="1"/>
  <c r="K28" i="1"/>
  <c r="K29" i="1"/>
  <c r="K30" i="1"/>
  <c r="M30" i="1" s="1"/>
  <c r="K31" i="1"/>
  <c r="K32" i="1"/>
  <c r="K33" i="1"/>
  <c r="K34" i="1"/>
  <c r="M34" i="1" s="1"/>
  <c r="K35" i="1"/>
  <c r="K36" i="1"/>
  <c r="K37" i="1"/>
  <c r="K38" i="1"/>
  <c r="M38" i="1" s="1"/>
  <c r="K39" i="1"/>
  <c r="K40" i="1"/>
  <c r="K41" i="1"/>
  <c r="K42" i="1"/>
  <c r="M42" i="1" s="1"/>
  <c r="K43" i="1"/>
  <c r="K44" i="1"/>
  <c r="K45" i="1"/>
  <c r="K46" i="1"/>
  <c r="M46" i="1" s="1"/>
  <c r="K47" i="1"/>
  <c r="K48" i="1"/>
  <c r="K49" i="1"/>
  <c r="K50" i="1"/>
  <c r="M50" i="1" s="1"/>
  <c r="K51" i="1"/>
  <c r="K52" i="1"/>
  <c r="K53" i="1"/>
  <c r="K54" i="1"/>
  <c r="M54" i="1" s="1"/>
  <c r="K55" i="1"/>
  <c r="K56" i="1"/>
  <c r="K57" i="1"/>
  <c r="K58" i="1"/>
  <c r="M58" i="1" s="1"/>
  <c r="K59" i="1"/>
  <c r="K60" i="1"/>
  <c r="K61" i="1"/>
  <c r="K62" i="1"/>
  <c r="M62" i="1" s="1"/>
  <c r="K63" i="1"/>
  <c r="K64" i="1"/>
  <c r="K65" i="1"/>
  <c r="K66" i="1"/>
  <c r="M66" i="1" s="1"/>
  <c r="K67" i="1"/>
  <c r="K68" i="1"/>
  <c r="K69" i="1"/>
  <c r="K70" i="1"/>
  <c r="M70" i="1" s="1"/>
  <c r="K71" i="1"/>
  <c r="K72" i="1"/>
  <c r="K73" i="1"/>
  <c r="K74" i="1"/>
  <c r="M74" i="1" s="1"/>
  <c r="K75" i="1"/>
  <c r="K76" i="1"/>
  <c r="K77" i="1"/>
  <c r="K78" i="1"/>
  <c r="M78" i="1" s="1"/>
  <c r="K79" i="1"/>
  <c r="K80" i="1"/>
  <c r="K81" i="1"/>
  <c r="K82" i="1"/>
  <c r="M82" i="1" s="1"/>
  <c r="K83" i="1"/>
  <c r="K84" i="1"/>
  <c r="K85" i="1"/>
  <c r="K86" i="1"/>
  <c r="M86" i="1" s="1"/>
  <c r="K87" i="1"/>
  <c r="K88" i="1"/>
  <c r="K89" i="1"/>
  <c r="K90" i="1"/>
  <c r="M90" i="1" s="1"/>
  <c r="K91" i="1"/>
  <c r="K92" i="1"/>
  <c r="K93" i="1"/>
  <c r="K94" i="1"/>
  <c r="M94" i="1" s="1"/>
  <c r="K95" i="1"/>
  <c r="K96" i="1"/>
  <c r="K97" i="1"/>
  <c r="K98" i="1"/>
  <c r="M98" i="1" s="1"/>
  <c r="K99" i="1"/>
  <c r="K100" i="1"/>
  <c r="K101" i="1"/>
  <c r="K102" i="1"/>
  <c r="M102" i="1" s="1"/>
  <c r="K103" i="1"/>
  <c r="K104" i="1"/>
  <c r="K105" i="1"/>
  <c r="K106" i="1"/>
  <c r="M106" i="1" s="1"/>
  <c r="K107" i="1"/>
  <c r="K108" i="1"/>
  <c r="K109" i="1"/>
  <c r="K110" i="1"/>
  <c r="M110" i="1" s="1"/>
  <c r="K111" i="1"/>
  <c r="K112" i="1"/>
  <c r="K113" i="1"/>
  <c r="K114" i="1"/>
  <c r="M114" i="1" s="1"/>
  <c r="K11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7" i="1"/>
  <c r="J18" i="1"/>
  <c r="J19" i="1"/>
  <c r="J20" i="1"/>
  <c r="M20" i="1" s="1"/>
  <c r="J21" i="1"/>
  <c r="J22" i="1"/>
  <c r="J23" i="1"/>
  <c r="J24" i="1"/>
  <c r="M24" i="1" s="1"/>
  <c r="J25" i="1"/>
  <c r="J3" i="1"/>
  <c r="J4" i="1"/>
  <c r="J5" i="1"/>
  <c r="J6" i="1"/>
  <c r="M6" i="1" s="1"/>
  <c r="J7" i="1"/>
  <c r="J8" i="1"/>
  <c r="J9" i="1"/>
  <c r="J10" i="1"/>
  <c r="M10" i="1" s="1"/>
  <c r="J11" i="1"/>
  <c r="J12" i="1"/>
  <c r="J13" i="1"/>
  <c r="J14" i="1"/>
  <c r="M14" i="1" s="1"/>
  <c r="J15" i="1"/>
  <c r="J16" i="1"/>
  <c r="J3" i="2"/>
  <c r="K3" i="2"/>
  <c r="M3" i="2" s="1"/>
  <c r="L3" i="2"/>
  <c r="N3" i="2"/>
  <c r="Q3" i="2" s="1"/>
  <c r="O3" i="2"/>
  <c r="P3" i="2"/>
  <c r="J4" i="2"/>
  <c r="K4" i="2"/>
  <c r="M4" i="2" s="1"/>
  <c r="L4" i="2"/>
  <c r="N4" i="2"/>
  <c r="Q4" i="2" s="1"/>
  <c r="O4" i="2"/>
  <c r="P4" i="2"/>
  <c r="J5" i="2"/>
  <c r="K5" i="2"/>
  <c r="M5" i="2" s="1"/>
  <c r="L5" i="2"/>
  <c r="N5" i="2"/>
  <c r="Q5" i="2" s="1"/>
  <c r="O5" i="2"/>
  <c r="P5" i="2"/>
  <c r="J6" i="2"/>
  <c r="K6" i="2"/>
  <c r="M6" i="2" s="1"/>
  <c r="L6" i="2"/>
  <c r="N6" i="2"/>
  <c r="Q6" i="2" s="1"/>
  <c r="O6" i="2"/>
  <c r="P6" i="2"/>
  <c r="J7" i="2"/>
  <c r="K7" i="2"/>
  <c r="L7" i="2"/>
  <c r="N7" i="2"/>
  <c r="O7" i="2"/>
  <c r="P7" i="2"/>
  <c r="J8" i="2"/>
  <c r="K8" i="2"/>
  <c r="L8" i="2"/>
  <c r="N8" i="2"/>
  <c r="O8" i="2"/>
  <c r="P8" i="2"/>
  <c r="J9" i="2"/>
  <c r="K9" i="2"/>
  <c r="L9" i="2"/>
  <c r="N9" i="2"/>
  <c r="O9" i="2"/>
  <c r="P9" i="2"/>
  <c r="J10" i="2"/>
  <c r="K10" i="2"/>
  <c r="L10" i="2"/>
  <c r="N10" i="2"/>
  <c r="O10" i="2"/>
  <c r="P10" i="2"/>
  <c r="Q10" i="2"/>
  <c r="J11" i="2"/>
  <c r="K11" i="2"/>
  <c r="L11" i="2"/>
  <c r="N11" i="2"/>
  <c r="O11" i="2"/>
  <c r="P11" i="2"/>
  <c r="J12" i="2"/>
  <c r="K12" i="2"/>
  <c r="L12" i="2"/>
  <c r="N12" i="2"/>
  <c r="O12" i="2"/>
  <c r="P12" i="2"/>
  <c r="J13" i="2"/>
  <c r="K13" i="2"/>
  <c r="L13" i="2"/>
  <c r="N13" i="2"/>
  <c r="O13" i="2"/>
  <c r="P13" i="2"/>
  <c r="J14" i="2"/>
  <c r="K14" i="2"/>
  <c r="L14" i="2"/>
  <c r="N14" i="2"/>
  <c r="O14" i="2"/>
  <c r="P14" i="2"/>
  <c r="J15" i="2"/>
  <c r="K15" i="2"/>
  <c r="L15" i="2"/>
  <c r="N15" i="2"/>
  <c r="O15" i="2"/>
  <c r="P15" i="2"/>
  <c r="J16" i="2"/>
  <c r="K16" i="2"/>
  <c r="L16" i="2"/>
  <c r="N16" i="2"/>
  <c r="O16" i="2"/>
  <c r="P16" i="2"/>
  <c r="J17" i="2"/>
  <c r="K17" i="2"/>
  <c r="L17" i="2"/>
  <c r="N17" i="2"/>
  <c r="O17" i="2"/>
  <c r="P17" i="2"/>
  <c r="J18" i="2"/>
  <c r="K18" i="2"/>
  <c r="L18" i="2"/>
  <c r="M18" i="2" s="1"/>
  <c r="N18" i="2"/>
  <c r="O18" i="2"/>
  <c r="P18" i="2"/>
  <c r="Q18" i="2" s="1"/>
  <c r="J19" i="2"/>
  <c r="K19" i="2"/>
  <c r="L19" i="2"/>
  <c r="N19" i="2"/>
  <c r="O19" i="2"/>
  <c r="P19" i="2"/>
  <c r="J20" i="2"/>
  <c r="K20" i="2"/>
  <c r="L20" i="2"/>
  <c r="N20" i="2"/>
  <c r="O20" i="2"/>
  <c r="P20" i="2"/>
  <c r="J21" i="2"/>
  <c r="K21" i="2"/>
  <c r="L21" i="2"/>
  <c r="N21" i="2"/>
  <c r="O21" i="2"/>
  <c r="P21" i="2"/>
  <c r="J22" i="2"/>
  <c r="K22" i="2"/>
  <c r="L22" i="2"/>
  <c r="N22" i="2"/>
  <c r="O22" i="2"/>
  <c r="P22" i="2"/>
  <c r="J23" i="2"/>
  <c r="K23" i="2"/>
  <c r="L23" i="2"/>
  <c r="N23" i="2"/>
  <c r="O23" i="2"/>
  <c r="P23" i="2"/>
  <c r="J24" i="2"/>
  <c r="K24" i="2"/>
  <c r="L24" i="2"/>
  <c r="N24" i="2"/>
  <c r="O24" i="2"/>
  <c r="P24" i="2"/>
  <c r="J25" i="2"/>
  <c r="K25" i="2"/>
  <c r="L25" i="2"/>
  <c r="N25" i="2"/>
  <c r="O25" i="2"/>
  <c r="P25" i="2"/>
  <c r="J26" i="2"/>
  <c r="K26" i="2"/>
  <c r="L26" i="2"/>
  <c r="N26" i="2"/>
  <c r="O26" i="2"/>
  <c r="P26" i="2"/>
  <c r="J27" i="2"/>
  <c r="K27" i="2"/>
  <c r="L27" i="2"/>
  <c r="N27" i="2"/>
  <c r="O27" i="2"/>
  <c r="P27" i="2"/>
  <c r="J28" i="2"/>
  <c r="K28" i="2"/>
  <c r="L28" i="2"/>
  <c r="M28" i="2" s="1"/>
  <c r="N28" i="2"/>
  <c r="O28" i="2"/>
  <c r="P28" i="2"/>
  <c r="J29" i="2"/>
  <c r="K29" i="2"/>
  <c r="L29" i="2"/>
  <c r="M29" i="2" s="1"/>
  <c r="N29" i="2"/>
  <c r="O29" i="2"/>
  <c r="P29" i="2"/>
  <c r="J30" i="2"/>
  <c r="K30" i="2"/>
  <c r="L30" i="2"/>
  <c r="M30" i="2" s="1"/>
  <c r="N30" i="2"/>
  <c r="O30" i="2"/>
  <c r="P30" i="2"/>
  <c r="J31" i="2"/>
  <c r="K31" i="2"/>
  <c r="L31" i="2"/>
  <c r="N31" i="2"/>
  <c r="O31" i="2"/>
  <c r="P31" i="2"/>
  <c r="Q31" i="2" s="1"/>
  <c r="J32" i="2"/>
  <c r="K32" i="2"/>
  <c r="M32" i="2" s="1"/>
  <c r="L32" i="2"/>
  <c r="N32" i="2"/>
  <c r="O32" i="2"/>
  <c r="P32" i="2"/>
  <c r="J33" i="2"/>
  <c r="K33" i="2"/>
  <c r="L33" i="2"/>
  <c r="N33" i="2"/>
  <c r="O33" i="2"/>
  <c r="P33" i="2"/>
  <c r="J34" i="2"/>
  <c r="K34" i="2"/>
  <c r="L34" i="2"/>
  <c r="N34" i="2"/>
  <c r="O34" i="2"/>
  <c r="P34" i="2"/>
  <c r="J35" i="2"/>
  <c r="K35" i="2"/>
  <c r="L35" i="2"/>
  <c r="N35" i="2"/>
  <c r="O35" i="2"/>
  <c r="P35" i="2"/>
  <c r="J36" i="2"/>
  <c r="K36" i="2"/>
  <c r="L36" i="2"/>
  <c r="N36" i="2"/>
  <c r="O36" i="2"/>
  <c r="Q36" i="2" s="1"/>
  <c r="P36" i="2"/>
  <c r="J37" i="2"/>
  <c r="K37" i="2"/>
  <c r="L37" i="2"/>
  <c r="N37" i="2"/>
  <c r="O37" i="2"/>
  <c r="P37" i="2"/>
  <c r="J38" i="2"/>
  <c r="K38" i="2"/>
  <c r="L38" i="2"/>
  <c r="N38" i="2"/>
  <c r="O38" i="2"/>
  <c r="P38" i="2"/>
  <c r="J39" i="2"/>
  <c r="K39" i="2"/>
  <c r="L39" i="2"/>
  <c r="N39" i="2"/>
  <c r="O39" i="2"/>
  <c r="P39" i="2"/>
  <c r="J40" i="2"/>
  <c r="K40" i="2"/>
  <c r="L40" i="2"/>
  <c r="N40" i="2"/>
  <c r="O40" i="2"/>
  <c r="P40" i="2"/>
  <c r="J41" i="2"/>
  <c r="K41" i="2"/>
  <c r="L41" i="2"/>
  <c r="N41" i="2"/>
  <c r="O41" i="2"/>
  <c r="P41" i="2"/>
  <c r="J42" i="2"/>
  <c r="K42" i="2"/>
  <c r="L42" i="2"/>
  <c r="N42" i="2"/>
  <c r="O42" i="2"/>
  <c r="P42" i="2"/>
  <c r="J43" i="2"/>
  <c r="K43" i="2"/>
  <c r="L43" i="2"/>
  <c r="N43" i="2"/>
  <c r="O43" i="2"/>
  <c r="P43" i="2"/>
  <c r="J44" i="2"/>
  <c r="K44" i="2"/>
  <c r="L44" i="2"/>
  <c r="N44" i="2"/>
  <c r="O44" i="2"/>
  <c r="P44" i="2"/>
  <c r="J45" i="2"/>
  <c r="K45" i="2"/>
  <c r="L45" i="2"/>
  <c r="N45" i="2"/>
  <c r="O45" i="2"/>
  <c r="P45" i="2"/>
  <c r="Q45" i="2" s="1"/>
  <c r="J46" i="2"/>
  <c r="K46" i="2"/>
  <c r="L46" i="2"/>
  <c r="N46" i="2"/>
  <c r="O46" i="2"/>
  <c r="P46" i="2"/>
  <c r="J47" i="2"/>
  <c r="K47" i="2"/>
  <c r="L47" i="2"/>
  <c r="N47" i="2"/>
  <c r="O47" i="2"/>
  <c r="P47" i="2"/>
  <c r="J48" i="2"/>
  <c r="K48" i="2"/>
  <c r="L48" i="2"/>
  <c r="N48" i="2"/>
  <c r="O48" i="2"/>
  <c r="P48" i="2"/>
  <c r="J49" i="2"/>
  <c r="K49" i="2"/>
  <c r="L49" i="2"/>
  <c r="N49" i="2"/>
  <c r="O49" i="2"/>
  <c r="P49" i="2"/>
  <c r="J50" i="2"/>
  <c r="K50" i="2"/>
  <c r="L50" i="2"/>
  <c r="N50" i="2"/>
  <c r="O50" i="2"/>
  <c r="P50" i="2"/>
  <c r="J51" i="2"/>
  <c r="K51" i="2"/>
  <c r="L51" i="2"/>
  <c r="N51" i="2"/>
  <c r="O51" i="2"/>
  <c r="P51" i="2"/>
  <c r="J52" i="2"/>
  <c r="K52" i="2"/>
  <c r="L52" i="2"/>
  <c r="N52" i="2"/>
  <c r="Q52" i="2" s="1"/>
  <c r="O52" i="2"/>
  <c r="P52" i="2"/>
  <c r="J53" i="2"/>
  <c r="K53" i="2"/>
  <c r="L53" i="2"/>
  <c r="M53" i="2" s="1"/>
  <c r="N53" i="2"/>
  <c r="O53" i="2"/>
  <c r="P53" i="2"/>
  <c r="J54" i="2"/>
  <c r="K54" i="2"/>
  <c r="L54" i="2"/>
  <c r="N54" i="2"/>
  <c r="O54" i="2"/>
  <c r="P54" i="2"/>
  <c r="J55" i="2"/>
  <c r="K55" i="2"/>
  <c r="L55" i="2"/>
  <c r="N55" i="2"/>
  <c r="O55" i="2"/>
  <c r="P55" i="2"/>
  <c r="J56" i="2"/>
  <c r="K56" i="2"/>
  <c r="L56" i="2"/>
  <c r="N56" i="2"/>
  <c r="O56" i="2"/>
  <c r="P56" i="2"/>
  <c r="J57" i="2"/>
  <c r="K57" i="2"/>
  <c r="L57" i="2"/>
  <c r="N57" i="2"/>
  <c r="O57" i="2"/>
  <c r="P57" i="2"/>
  <c r="J58" i="2"/>
  <c r="K58" i="2"/>
  <c r="L58" i="2"/>
  <c r="N58" i="2"/>
  <c r="O58" i="2"/>
  <c r="P58" i="2"/>
  <c r="J59" i="2"/>
  <c r="K59" i="2"/>
  <c r="L59" i="2"/>
  <c r="N59" i="2"/>
  <c r="O59" i="2"/>
  <c r="P59" i="2"/>
  <c r="J60" i="2"/>
  <c r="K60" i="2"/>
  <c r="L60" i="2"/>
  <c r="N60" i="2"/>
  <c r="O60" i="2"/>
  <c r="P60" i="2"/>
  <c r="J61" i="2"/>
  <c r="K61" i="2"/>
  <c r="L61" i="2"/>
  <c r="N61" i="2"/>
  <c r="O61" i="2"/>
  <c r="P61" i="2"/>
  <c r="J62" i="2"/>
  <c r="K62" i="2"/>
  <c r="L62" i="2"/>
  <c r="N62" i="2"/>
  <c r="O62" i="2"/>
  <c r="P62" i="2"/>
  <c r="J63" i="2"/>
  <c r="K63" i="2"/>
  <c r="L63" i="2"/>
  <c r="N63" i="2"/>
  <c r="O63" i="2"/>
  <c r="P63" i="2"/>
  <c r="J64" i="2"/>
  <c r="K64" i="2"/>
  <c r="L64" i="2"/>
  <c r="N64" i="2"/>
  <c r="O64" i="2"/>
  <c r="P64" i="2"/>
  <c r="J65" i="2"/>
  <c r="K65" i="2"/>
  <c r="L65" i="2"/>
  <c r="N65" i="2"/>
  <c r="O65" i="2"/>
  <c r="P65" i="2"/>
  <c r="J66" i="2"/>
  <c r="K66" i="2"/>
  <c r="L66" i="2"/>
  <c r="N66" i="2"/>
  <c r="O66" i="2"/>
  <c r="P66" i="2"/>
  <c r="J67" i="2"/>
  <c r="K67" i="2"/>
  <c r="L67" i="2"/>
  <c r="N67" i="2"/>
  <c r="O67" i="2"/>
  <c r="P67" i="2"/>
  <c r="J68" i="2"/>
  <c r="K68" i="2"/>
  <c r="L68" i="2"/>
  <c r="N68" i="2"/>
  <c r="O68" i="2"/>
  <c r="P68" i="2"/>
  <c r="J69" i="2"/>
  <c r="K69" i="2"/>
  <c r="L69" i="2"/>
  <c r="N69" i="2"/>
  <c r="O69" i="2"/>
  <c r="P69" i="2"/>
  <c r="J70" i="2"/>
  <c r="K70" i="2"/>
  <c r="L70" i="2"/>
  <c r="N70" i="2"/>
  <c r="O70" i="2"/>
  <c r="P70" i="2"/>
  <c r="J71" i="2"/>
  <c r="K71" i="2"/>
  <c r="L71" i="2"/>
  <c r="N71" i="2"/>
  <c r="O71" i="2"/>
  <c r="P71" i="2"/>
  <c r="J72" i="2"/>
  <c r="K72" i="2"/>
  <c r="L72" i="2"/>
  <c r="N72" i="2"/>
  <c r="O72" i="2"/>
  <c r="P72" i="2"/>
  <c r="J73" i="2"/>
  <c r="K73" i="2"/>
  <c r="L73" i="2"/>
  <c r="N73" i="2"/>
  <c r="O73" i="2"/>
  <c r="P73" i="2"/>
  <c r="J74" i="2"/>
  <c r="K74" i="2"/>
  <c r="L74" i="2"/>
  <c r="N74" i="2"/>
  <c r="O74" i="2"/>
  <c r="P74" i="2"/>
  <c r="J75" i="2"/>
  <c r="K75" i="2"/>
  <c r="L75" i="2"/>
  <c r="N75" i="2"/>
  <c r="O75" i="2"/>
  <c r="P75" i="2"/>
  <c r="J76" i="2"/>
  <c r="K76" i="2"/>
  <c r="L76" i="2"/>
  <c r="N76" i="2"/>
  <c r="O76" i="2"/>
  <c r="P76" i="2"/>
  <c r="J77" i="2"/>
  <c r="K77" i="2"/>
  <c r="L77" i="2"/>
  <c r="N77" i="2"/>
  <c r="O77" i="2"/>
  <c r="P77" i="2"/>
  <c r="J78" i="2"/>
  <c r="K78" i="2"/>
  <c r="L78" i="2"/>
  <c r="N78" i="2"/>
  <c r="O78" i="2"/>
  <c r="P78" i="2"/>
  <c r="J79" i="2"/>
  <c r="K79" i="2"/>
  <c r="L79" i="2"/>
  <c r="N79" i="2"/>
  <c r="O79" i="2"/>
  <c r="P79" i="2"/>
  <c r="J80" i="2"/>
  <c r="K80" i="2"/>
  <c r="L80" i="2"/>
  <c r="N80" i="2"/>
  <c r="O80" i="2"/>
  <c r="P80" i="2"/>
  <c r="J81" i="2"/>
  <c r="K81" i="2"/>
  <c r="L81" i="2"/>
  <c r="N81" i="2"/>
  <c r="O81" i="2"/>
  <c r="P81" i="2"/>
  <c r="J82" i="2"/>
  <c r="K82" i="2"/>
  <c r="L82" i="2"/>
  <c r="N82" i="2"/>
  <c r="O82" i="2"/>
  <c r="P82" i="2"/>
  <c r="J83" i="2"/>
  <c r="K83" i="2"/>
  <c r="L83" i="2"/>
  <c r="N83" i="2"/>
  <c r="O83" i="2"/>
  <c r="P83" i="2"/>
  <c r="J84" i="2"/>
  <c r="K84" i="2"/>
  <c r="L84" i="2"/>
  <c r="N84" i="2"/>
  <c r="O84" i="2"/>
  <c r="P84" i="2"/>
  <c r="J85" i="2"/>
  <c r="K85" i="2"/>
  <c r="L85" i="2"/>
  <c r="N85" i="2"/>
  <c r="O85" i="2"/>
  <c r="P85" i="2"/>
  <c r="J86" i="2"/>
  <c r="K86" i="2"/>
  <c r="L86" i="2"/>
  <c r="N86" i="2"/>
  <c r="O86" i="2"/>
  <c r="P86" i="2"/>
  <c r="J87" i="2"/>
  <c r="K87" i="2"/>
  <c r="L87" i="2"/>
  <c r="N87" i="2"/>
  <c r="O87" i="2"/>
  <c r="P87" i="2"/>
  <c r="J88" i="2"/>
  <c r="K88" i="2"/>
  <c r="L88" i="2"/>
  <c r="N88" i="2"/>
  <c r="O88" i="2"/>
  <c r="P88" i="2"/>
  <c r="J89" i="2"/>
  <c r="K89" i="2"/>
  <c r="L89" i="2"/>
  <c r="N89" i="2"/>
  <c r="O89" i="2"/>
  <c r="P89" i="2"/>
  <c r="J90" i="2"/>
  <c r="K90" i="2"/>
  <c r="L90" i="2"/>
  <c r="N90" i="2"/>
  <c r="O90" i="2"/>
  <c r="P90" i="2"/>
  <c r="J91" i="2"/>
  <c r="K91" i="2"/>
  <c r="L91" i="2"/>
  <c r="N91" i="2"/>
  <c r="O91" i="2"/>
  <c r="P91" i="2"/>
  <c r="J92" i="2"/>
  <c r="K92" i="2"/>
  <c r="L92" i="2"/>
  <c r="N92" i="2"/>
  <c r="O92" i="2"/>
  <c r="P92" i="2"/>
  <c r="Q92" i="2" s="1"/>
  <c r="J93" i="2"/>
  <c r="K93" i="2"/>
  <c r="L93" i="2"/>
  <c r="N93" i="2"/>
  <c r="O93" i="2"/>
  <c r="P93" i="2"/>
  <c r="J94" i="2"/>
  <c r="K94" i="2"/>
  <c r="L94" i="2"/>
  <c r="N94" i="2"/>
  <c r="O94" i="2"/>
  <c r="P94" i="2"/>
  <c r="J95" i="2"/>
  <c r="K95" i="2"/>
  <c r="L95" i="2"/>
  <c r="N95" i="2"/>
  <c r="O95" i="2"/>
  <c r="P95" i="2"/>
  <c r="J96" i="2"/>
  <c r="K96" i="2"/>
  <c r="L96" i="2"/>
  <c r="N96" i="2"/>
  <c r="O96" i="2"/>
  <c r="P96" i="2"/>
  <c r="J97" i="2"/>
  <c r="K97" i="2"/>
  <c r="L97" i="2"/>
  <c r="N97" i="2"/>
  <c r="O97" i="2"/>
  <c r="P97" i="2"/>
  <c r="J98" i="2"/>
  <c r="K98" i="2"/>
  <c r="L98" i="2"/>
  <c r="N98" i="2"/>
  <c r="O98" i="2"/>
  <c r="P98" i="2"/>
  <c r="J99" i="2"/>
  <c r="K99" i="2"/>
  <c r="L99" i="2"/>
  <c r="N99" i="2"/>
  <c r="O99" i="2"/>
  <c r="P99" i="2"/>
  <c r="J100" i="2"/>
  <c r="K100" i="2"/>
  <c r="L100" i="2"/>
  <c r="N100" i="2"/>
  <c r="O100" i="2"/>
  <c r="P100" i="2"/>
  <c r="Q100" i="2" s="1"/>
  <c r="J101" i="2"/>
  <c r="K101" i="2"/>
  <c r="L101" i="2"/>
  <c r="N101" i="2"/>
  <c r="O101" i="2"/>
  <c r="P101" i="2"/>
  <c r="J102" i="2"/>
  <c r="K102" i="2"/>
  <c r="L102" i="2"/>
  <c r="N102" i="2"/>
  <c r="O102" i="2"/>
  <c r="P102" i="2"/>
  <c r="J103" i="2"/>
  <c r="K103" i="2"/>
  <c r="L103" i="2"/>
  <c r="N103" i="2"/>
  <c r="O103" i="2"/>
  <c r="P103" i="2"/>
  <c r="J104" i="2"/>
  <c r="K104" i="2"/>
  <c r="L104" i="2"/>
  <c r="N104" i="2"/>
  <c r="O104" i="2"/>
  <c r="P104" i="2"/>
  <c r="J105" i="2"/>
  <c r="K105" i="2"/>
  <c r="L105" i="2"/>
  <c r="N105" i="2"/>
  <c r="O105" i="2"/>
  <c r="P105" i="2"/>
  <c r="J106" i="2"/>
  <c r="K106" i="2"/>
  <c r="L106" i="2"/>
  <c r="N106" i="2"/>
  <c r="O106" i="2"/>
  <c r="P106" i="2"/>
  <c r="J107" i="2"/>
  <c r="K107" i="2"/>
  <c r="L107" i="2"/>
  <c r="N107" i="2"/>
  <c r="O107" i="2"/>
  <c r="P107" i="2"/>
  <c r="J108" i="2"/>
  <c r="K108" i="2"/>
  <c r="L108" i="2"/>
  <c r="N108" i="2"/>
  <c r="O108" i="2"/>
  <c r="P108" i="2"/>
  <c r="Q108" i="2" s="1"/>
  <c r="J109" i="2"/>
  <c r="K109" i="2"/>
  <c r="L109" i="2"/>
  <c r="N109" i="2"/>
  <c r="O109" i="2"/>
  <c r="P109" i="2"/>
  <c r="J110" i="2"/>
  <c r="K110" i="2"/>
  <c r="L110" i="2"/>
  <c r="N110" i="2"/>
  <c r="O110" i="2"/>
  <c r="P110" i="2"/>
  <c r="J111" i="2"/>
  <c r="K111" i="2"/>
  <c r="L111" i="2"/>
  <c r="N111" i="2"/>
  <c r="O111" i="2"/>
  <c r="P111" i="2"/>
  <c r="J112" i="2"/>
  <c r="K112" i="2"/>
  <c r="L112" i="2"/>
  <c r="N112" i="2"/>
  <c r="O112" i="2"/>
  <c r="P112" i="2"/>
  <c r="J113" i="2"/>
  <c r="K113" i="2"/>
  <c r="L113" i="2"/>
  <c r="N113" i="2"/>
  <c r="O113" i="2"/>
  <c r="P113" i="2"/>
  <c r="J114" i="2"/>
  <c r="K114" i="2"/>
  <c r="L114" i="2"/>
  <c r="N114" i="2"/>
  <c r="O114" i="2"/>
  <c r="P114" i="2"/>
  <c r="J115" i="2"/>
  <c r="K115" i="2"/>
  <c r="L115" i="2"/>
  <c r="N115" i="2"/>
  <c r="O115" i="2"/>
  <c r="P115" i="2"/>
  <c r="P2" i="2"/>
  <c r="O2" i="2"/>
  <c r="N2" i="2"/>
  <c r="L2" i="2"/>
  <c r="K2" i="2"/>
  <c r="J2" i="2"/>
  <c r="P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N12" i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N30" i="1"/>
  <c r="O30" i="1"/>
  <c r="P30" i="1"/>
  <c r="Q30" i="1"/>
  <c r="N31" i="1"/>
  <c r="O31" i="1"/>
  <c r="P31" i="1"/>
  <c r="Q31" i="1"/>
  <c r="N32" i="1"/>
  <c r="O32" i="1"/>
  <c r="P32" i="1"/>
  <c r="Q32" i="1"/>
  <c r="N33" i="1"/>
  <c r="O33" i="1"/>
  <c r="P33" i="1"/>
  <c r="Q33" i="1"/>
  <c r="N34" i="1"/>
  <c r="O34" i="1"/>
  <c r="P34" i="1"/>
  <c r="Q34" i="1"/>
  <c r="N35" i="1"/>
  <c r="O35" i="1"/>
  <c r="P35" i="1"/>
  <c r="Q35" i="1"/>
  <c r="N36" i="1"/>
  <c r="O36" i="1"/>
  <c r="P36" i="1"/>
  <c r="Q36" i="1"/>
  <c r="N37" i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O43" i="1"/>
  <c r="P43" i="1"/>
  <c r="Q43" i="1"/>
  <c r="N44" i="1"/>
  <c r="O44" i="1"/>
  <c r="P44" i="1"/>
  <c r="Q44" i="1"/>
  <c r="N45" i="1"/>
  <c r="O45" i="1"/>
  <c r="P45" i="1"/>
  <c r="Q45" i="1"/>
  <c r="N46" i="1"/>
  <c r="O46" i="1"/>
  <c r="P46" i="1"/>
  <c r="Q46" i="1"/>
  <c r="N47" i="1"/>
  <c r="O47" i="1"/>
  <c r="P47" i="1"/>
  <c r="Q47" i="1"/>
  <c r="N48" i="1"/>
  <c r="O48" i="1"/>
  <c r="P48" i="1"/>
  <c r="Q48" i="1"/>
  <c r="N49" i="1"/>
  <c r="O49" i="1"/>
  <c r="P49" i="1"/>
  <c r="Q49" i="1"/>
  <c r="N50" i="1"/>
  <c r="O50" i="1"/>
  <c r="P50" i="1"/>
  <c r="Q50" i="1"/>
  <c r="N51" i="1"/>
  <c r="O51" i="1"/>
  <c r="P51" i="1"/>
  <c r="Q51" i="1"/>
  <c r="N52" i="1"/>
  <c r="O52" i="1"/>
  <c r="P52" i="1"/>
  <c r="Q52" i="1"/>
  <c r="N53" i="1"/>
  <c r="O53" i="1"/>
  <c r="P53" i="1"/>
  <c r="Q53" i="1"/>
  <c r="N54" i="1"/>
  <c r="O54" i="1"/>
  <c r="P54" i="1"/>
  <c r="Q54" i="1"/>
  <c r="N55" i="1"/>
  <c r="O55" i="1"/>
  <c r="P55" i="1"/>
  <c r="Q55" i="1"/>
  <c r="N56" i="1"/>
  <c r="O56" i="1"/>
  <c r="P56" i="1"/>
  <c r="Q56" i="1"/>
  <c r="N57" i="1"/>
  <c r="O57" i="1"/>
  <c r="P57" i="1"/>
  <c r="Q57" i="1"/>
  <c r="N58" i="1"/>
  <c r="O58" i="1"/>
  <c r="P58" i="1"/>
  <c r="Q58" i="1"/>
  <c r="N59" i="1"/>
  <c r="O59" i="1"/>
  <c r="P59" i="1"/>
  <c r="Q59" i="1"/>
  <c r="N60" i="1"/>
  <c r="O60" i="1"/>
  <c r="P60" i="1"/>
  <c r="Q60" i="1"/>
  <c r="N61" i="1"/>
  <c r="O61" i="1"/>
  <c r="P61" i="1"/>
  <c r="Q61" i="1"/>
  <c r="N62" i="1"/>
  <c r="O62" i="1"/>
  <c r="P62" i="1"/>
  <c r="Q62" i="1"/>
  <c r="N63" i="1"/>
  <c r="O63" i="1"/>
  <c r="P63" i="1"/>
  <c r="Q63" i="1"/>
  <c r="N64" i="1"/>
  <c r="O64" i="1"/>
  <c r="P64" i="1"/>
  <c r="Q64" i="1"/>
  <c r="N65" i="1"/>
  <c r="O65" i="1"/>
  <c r="P65" i="1"/>
  <c r="Q65" i="1"/>
  <c r="N66" i="1"/>
  <c r="O66" i="1"/>
  <c r="P66" i="1"/>
  <c r="Q66" i="1"/>
  <c r="N67" i="1"/>
  <c r="O67" i="1"/>
  <c r="P67" i="1"/>
  <c r="Q67" i="1"/>
  <c r="N68" i="1"/>
  <c r="O68" i="1"/>
  <c r="P68" i="1"/>
  <c r="Q68" i="1"/>
  <c r="N69" i="1"/>
  <c r="O69" i="1"/>
  <c r="P69" i="1"/>
  <c r="Q69" i="1"/>
  <c r="N70" i="1"/>
  <c r="O70" i="1"/>
  <c r="P70" i="1"/>
  <c r="Q70" i="1"/>
  <c r="N71" i="1"/>
  <c r="O71" i="1"/>
  <c r="P71" i="1"/>
  <c r="Q71" i="1"/>
  <c r="N72" i="1"/>
  <c r="O72" i="1"/>
  <c r="P72" i="1"/>
  <c r="Q72" i="1"/>
  <c r="N73" i="1"/>
  <c r="O73" i="1"/>
  <c r="P73" i="1"/>
  <c r="Q73" i="1"/>
  <c r="N74" i="1"/>
  <c r="O74" i="1"/>
  <c r="P74" i="1"/>
  <c r="Q74" i="1"/>
  <c r="N75" i="1"/>
  <c r="O75" i="1"/>
  <c r="P75" i="1"/>
  <c r="Q75" i="1"/>
  <c r="N76" i="1"/>
  <c r="O76" i="1"/>
  <c r="P76" i="1"/>
  <c r="Q76" i="1"/>
  <c r="N77" i="1"/>
  <c r="O77" i="1"/>
  <c r="P77" i="1"/>
  <c r="Q77" i="1"/>
  <c r="N78" i="1"/>
  <c r="O78" i="1"/>
  <c r="P78" i="1"/>
  <c r="Q78" i="1"/>
  <c r="N79" i="1"/>
  <c r="O79" i="1"/>
  <c r="P79" i="1"/>
  <c r="Q79" i="1"/>
  <c r="N80" i="1"/>
  <c r="O80" i="1"/>
  <c r="P80" i="1"/>
  <c r="Q80" i="1"/>
  <c r="N81" i="1"/>
  <c r="O81" i="1"/>
  <c r="P81" i="1"/>
  <c r="Q81" i="1"/>
  <c r="N82" i="1"/>
  <c r="O82" i="1"/>
  <c r="P82" i="1"/>
  <c r="Q82" i="1"/>
  <c r="N83" i="1"/>
  <c r="O83" i="1"/>
  <c r="P83" i="1"/>
  <c r="Q83" i="1"/>
  <c r="N84" i="1"/>
  <c r="O84" i="1"/>
  <c r="P84" i="1"/>
  <c r="Q84" i="1"/>
  <c r="N85" i="1"/>
  <c r="O85" i="1"/>
  <c r="P85" i="1"/>
  <c r="Q85" i="1"/>
  <c r="N86" i="1"/>
  <c r="O86" i="1"/>
  <c r="P86" i="1"/>
  <c r="Q86" i="1"/>
  <c r="N87" i="1"/>
  <c r="O87" i="1"/>
  <c r="P87" i="1"/>
  <c r="Q87" i="1"/>
  <c r="N88" i="1"/>
  <c r="O88" i="1"/>
  <c r="P88" i="1"/>
  <c r="Q88" i="1"/>
  <c r="N89" i="1"/>
  <c r="O89" i="1"/>
  <c r="P89" i="1"/>
  <c r="Q89" i="1"/>
  <c r="N90" i="1"/>
  <c r="O90" i="1"/>
  <c r="P90" i="1"/>
  <c r="Q90" i="1"/>
  <c r="N91" i="1"/>
  <c r="O91" i="1"/>
  <c r="P91" i="1"/>
  <c r="Q91" i="1"/>
  <c r="N92" i="1"/>
  <c r="O92" i="1"/>
  <c r="P92" i="1"/>
  <c r="Q92" i="1"/>
  <c r="N93" i="1"/>
  <c r="O93" i="1"/>
  <c r="P93" i="1"/>
  <c r="Q93" i="1"/>
  <c r="N94" i="1"/>
  <c r="O94" i="1"/>
  <c r="P94" i="1"/>
  <c r="Q94" i="1"/>
  <c r="N95" i="1"/>
  <c r="O95" i="1"/>
  <c r="P95" i="1"/>
  <c r="Q95" i="1"/>
  <c r="N96" i="1"/>
  <c r="O96" i="1"/>
  <c r="P96" i="1"/>
  <c r="Q96" i="1"/>
  <c r="N97" i="1"/>
  <c r="O97" i="1"/>
  <c r="P97" i="1"/>
  <c r="Q97" i="1"/>
  <c r="N98" i="1"/>
  <c r="O98" i="1"/>
  <c r="P98" i="1"/>
  <c r="Q98" i="1"/>
  <c r="N99" i="1"/>
  <c r="O99" i="1"/>
  <c r="P99" i="1"/>
  <c r="Q99" i="1"/>
  <c r="N100" i="1"/>
  <c r="O100" i="1"/>
  <c r="P100" i="1"/>
  <c r="Q100" i="1"/>
  <c r="N101" i="1"/>
  <c r="O101" i="1"/>
  <c r="P101" i="1"/>
  <c r="Q101" i="1"/>
  <c r="N102" i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N111" i="1"/>
  <c r="O111" i="1"/>
  <c r="P111" i="1"/>
  <c r="Q111" i="1"/>
  <c r="N112" i="1"/>
  <c r="O112" i="1"/>
  <c r="P112" i="1"/>
  <c r="Q112" i="1"/>
  <c r="N113" i="1"/>
  <c r="O113" i="1"/>
  <c r="P113" i="1"/>
  <c r="Q113" i="1"/>
  <c r="N114" i="1"/>
  <c r="O114" i="1"/>
  <c r="P114" i="1"/>
  <c r="Q114" i="1"/>
  <c r="N115" i="1"/>
  <c r="O115" i="1"/>
  <c r="P115" i="1"/>
  <c r="Q115" i="1"/>
  <c r="Q2" i="1"/>
  <c r="O2" i="1"/>
  <c r="N2" i="1"/>
  <c r="M3" i="1"/>
  <c r="M4" i="1"/>
  <c r="M5" i="1"/>
  <c r="M7" i="1"/>
  <c r="M8" i="1"/>
  <c r="M9" i="1"/>
  <c r="M11" i="1"/>
  <c r="M12" i="1"/>
  <c r="M13" i="1"/>
  <c r="M15" i="1"/>
  <c r="M16" i="1"/>
  <c r="M17" i="1"/>
  <c r="M18" i="1"/>
  <c r="M19" i="1"/>
  <c r="M21" i="1"/>
  <c r="M23" i="1"/>
  <c r="M25" i="1"/>
  <c r="M27" i="1"/>
  <c r="M28" i="1"/>
  <c r="M29" i="1"/>
  <c r="M31" i="1"/>
  <c r="M32" i="1"/>
  <c r="M33" i="1"/>
  <c r="M35" i="1"/>
  <c r="M36" i="1"/>
  <c r="M37" i="1"/>
  <c r="M39" i="1"/>
  <c r="M40" i="1"/>
  <c r="M41" i="1"/>
  <c r="M43" i="1"/>
  <c r="M44" i="1"/>
  <c r="M45" i="1"/>
  <c r="M47" i="1"/>
  <c r="M48" i="1"/>
  <c r="M49" i="1"/>
  <c r="M51" i="1"/>
  <c r="M52" i="1"/>
  <c r="M53" i="1"/>
  <c r="M55" i="1"/>
  <c r="M56" i="1"/>
  <c r="M57" i="1"/>
  <c r="M59" i="1"/>
  <c r="M60" i="1"/>
  <c r="M61" i="1"/>
  <c r="M63" i="1"/>
  <c r="M64" i="1"/>
  <c r="M65" i="1"/>
  <c r="M67" i="1"/>
  <c r="M68" i="1"/>
  <c r="M69" i="1"/>
  <c r="M71" i="1"/>
  <c r="M72" i="1"/>
  <c r="M73" i="1"/>
  <c r="M75" i="1"/>
  <c r="M76" i="1"/>
  <c r="M77" i="1"/>
  <c r="M79" i="1"/>
  <c r="M80" i="1"/>
  <c r="M81" i="1"/>
  <c r="M83" i="1"/>
  <c r="M84" i="1"/>
  <c r="M85" i="1"/>
  <c r="M87" i="1"/>
  <c r="M88" i="1"/>
  <c r="M89" i="1"/>
  <c r="M91" i="1"/>
  <c r="M92" i="1"/>
  <c r="M93" i="1"/>
  <c r="M95" i="1"/>
  <c r="M96" i="1"/>
  <c r="M97" i="1"/>
  <c r="M99" i="1"/>
  <c r="M100" i="1"/>
  <c r="M101" i="1"/>
  <c r="M103" i="1"/>
  <c r="M104" i="1"/>
  <c r="M105" i="1"/>
  <c r="M107" i="1"/>
  <c r="M108" i="1"/>
  <c r="M109" i="1"/>
  <c r="M111" i="1"/>
  <c r="M112" i="1"/>
  <c r="M113" i="1"/>
  <c r="M115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2" i="1"/>
  <c r="K2" i="1"/>
  <c r="J2" i="1"/>
  <c r="J114" i="3" l="1"/>
  <c r="M29" i="3"/>
  <c r="J113" i="3"/>
  <c r="M63" i="3"/>
  <c r="M35" i="3"/>
  <c r="J27" i="3"/>
  <c r="J23" i="3"/>
  <c r="M12" i="3"/>
  <c r="M15" i="3"/>
  <c r="M11" i="3"/>
  <c r="M7" i="3"/>
  <c r="M3" i="3"/>
  <c r="J97" i="3"/>
  <c r="M73" i="3"/>
  <c r="M69" i="3"/>
  <c r="M65" i="3"/>
  <c r="M61" i="3"/>
  <c r="M41" i="3"/>
  <c r="J61" i="3"/>
  <c r="M115" i="3"/>
  <c r="J96" i="3"/>
  <c r="M88" i="3"/>
  <c r="M84" i="3"/>
  <c r="M80" i="3"/>
  <c r="J33" i="3"/>
  <c r="J17" i="3"/>
  <c r="M44" i="3"/>
  <c r="M91" i="3"/>
  <c r="M79" i="3"/>
  <c r="M75" i="3"/>
  <c r="M71" i="3"/>
  <c r="M67" i="3"/>
  <c r="M47" i="3"/>
  <c r="M4" i="3"/>
  <c r="J12" i="3"/>
  <c r="J102" i="3"/>
  <c r="J31" i="3"/>
  <c r="M109" i="3"/>
  <c r="J78" i="3"/>
  <c r="M42" i="3"/>
  <c r="M97" i="3"/>
  <c r="M89" i="3"/>
  <c r="J3" i="3"/>
  <c r="M42" i="2"/>
  <c r="Q23" i="2"/>
  <c r="M31" i="2"/>
  <c r="Q28" i="2"/>
  <c r="M10" i="2"/>
  <c r="Q30" i="2"/>
  <c r="M12" i="2"/>
  <c r="M20" i="2"/>
  <c r="Q43" i="2"/>
  <c r="Q19" i="2"/>
  <c r="Q32" i="2"/>
  <c r="M22" i="2"/>
  <c r="M27" i="2"/>
  <c r="M19" i="2"/>
  <c r="Q34" i="2"/>
  <c r="Q12" i="2"/>
  <c r="M37" i="2"/>
  <c r="M39" i="2"/>
  <c r="M52" i="2"/>
  <c r="Q54" i="2"/>
  <c r="Q115" i="2"/>
  <c r="Q51" i="2"/>
  <c r="Q40" i="2"/>
  <c r="M48" i="2"/>
  <c r="Q55" i="2"/>
  <c r="Q112" i="2"/>
  <c r="Q104" i="2"/>
  <c r="M54" i="2"/>
  <c r="Q38" i="2"/>
  <c r="Q20" i="2"/>
  <c r="M33" i="2"/>
  <c r="M51" i="2"/>
  <c r="M35" i="2"/>
  <c r="Q84" i="2"/>
  <c r="Q11" i="2"/>
  <c r="Q49" i="2"/>
  <c r="M34" i="2"/>
  <c r="Q59" i="2"/>
  <c r="Q2" i="2"/>
  <c r="Q39" i="2"/>
  <c r="M47" i="2"/>
  <c r="M26" i="2"/>
  <c r="M11" i="2"/>
  <c r="Q15" i="2"/>
  <c r="Q67" i="2"/>
  <c r="Q56" i="2"/>
  <c r="Q22" i="2"/>
  <c r="Q53" i="2"/>
  <c r="M46" i="2"/>
  <c r="M25" i="2"/>
  <c r="Q114" i="2"/>
  <c r="Q106" i="2"/>
  <c r="Q98" i="2"/>
  <c r="Q90" i="2"/>
  <c r="Q61" i="2"/>
  <c r="M56" i="2"/>
  <c r="M36" i="2"/>
  <c r="Q29" i="2"/>
  <c r="Q27" i="2"/>
  <c r="Q7" i="2"/>
  <c r="M43" i="2"/>
  <c r="M38" i="2"/>
  <c r="Q33" i="2"/>
  <c r="Q24" i="2"/>
  <c r="Q35" i="2"/>
  <c r="M7" i="2"/>
  <c r="M111" i="2"/>
  <c r="Q37" i="2"/>
  <c r="M14" i="2"/>
  <c r="M2" i="2"/>
  <c r="Q57" i="2"/>
  <c r="M50" i="2"/>
  <c r="Q47" i="2"/>
  <c r="Q26" i="2"/>
  <c r="Q16" i="2"/>
  <c r="Q13" i="2"/>
  <c r="M9" i="2"/>
  <c r="M58" i="2"/>
  <c r="Q48" i="2"/>
  <c r="Q17" i="2"/>
  <c r="M15" i="2"/>
  <c r="M8" i="2"/>
  <c r="M61" i="2"/>
  <c r="M55" i="2"/>
  <c r="Q50" i="2"/>
  <c r="M17" i="2"/>
  <c r="Q14" i="2"/>
  <c r="Q21" i="2"/>
  <c r="M21" i="2"/>
  <c r="M70" i="2"/>
  <c r="Q46" i="2"/>
  <c r="Q42" i="2"/>
  <c r="M40" i="2"/>
  <c r="Q25" i="2"/>
  <c r="M23" i="2"/>
  <c r="Q69" i="2"/>
  <c r="M59" i="2"/>
  <c r="Q58" i="2"/>
  <c r="M13" i="2"/>
  <c r="Q110" i="2"/>
  <c r="Q60" i="2"/>
  <c r="M97" i="2"/>
  <c r="Q70" i="2"/>
  <c r="Q99" i="2"/>
  <c r="M60" i="2"/>
  <c r="Q96" i="2"/>
  <c r="M99" i="2"/>
  <c r="Q64" i="2"/>
  <c r="M112" i="2"/>
  <c r="M80" i="2"/>
  <c r="M101" i="2"/>
  <c r="M69" i="2"/>
  <c r="Q109" i="2"/>
  <c r="Q101" i="2"/>
  <c r="Q111" i="2"/>
  <c r="Q87" i="2"/>
  <c r="M90" i="2"/>
  <c r="M57" i="2"/>
  <c r="Q113" i="2"/>
  <c r="Q97" i="2"/>
  <c r="Q89" i="2"/>
  <c r="Q102" i="2"/>
  <c r="Q86" i="2"/>
  <c r="M113" i="2"/>
  <c r="M110" i="2"/>
  <c r="Q88" i="2"/>
  <c r="Q80" i="2"/>
  <c r="M65" i="2"/>
  <c r="M115" i="2"/>
  <c r="M45" i="2"/>
  <c r="M49" i="2"/>
  <c r="Q9" i="2"/>
  <c r="M111" i="3"/>
  <c r="M76" i="3"/>
  <c r="M72" i="3"/>
  <c r="M68" i="3"/>
  <c r="J57" i="3"/>
  <c r="J49" i="3"/>
  <c r="M37" i="3"/>
  <c r="M10" i="3"/>
  <c r="M95" i="3"/>
  <c r="J72" i="3"/>
  <c r="J107" i="3"/>
  <c r="J103" i="3"/>
  <c r="M87" i="3"/>
  <c r="M83" i="3"/>
  <c r="M56" i="3"/>
  <c r="J29" i="3"/>
  <c r="M21" i="3"/>
  <c r="M17" i="3"/>
  <c r="M106" i="3"/>
  <c r="J48" i="3"/>
  <c r="J13" i="3"/>
  <c r="M94" i="3"/>
  <c r="M113" i="3"/>
  <c r="J106" i="3"/>
  <c r="J98" i="3"/>
  <c r="J94" i="3"/>
  <c r="M82" i="3"/>
  <c r="M78" i="3"/>
  <c r="M55" i="3"/>
  <c r="M51" i="3"/>
  <c r="M24" i="3"/>
  <c r="J90" i="3"/>
  <c r="J55" i="3"/>
  <c r="J51" i="3"/>
  <c r="M31" i="3"/>
  <c r="J4" i="3"/>
  <c r="M2" i="3"/>
  <c r="M112" i="3"/>
  <c r="J105" i="3"/>
  <c r="J101" i="3"/>
  <c r="M85" i="3"/>
  <c r="M81" i="3"/>
  <c r="M50" i="3"/>
  <c r="M46" i="3"/>
  <c r="M23" i="3"/>
  <c r="M19" i="3"/>
  <c r="M100" i="3"/>
  <c r="J85" i="3"/>
  <c r="J81" i="3"/>
  <c r="J69" i="3"/>
  <c r="J54" i="3"/>
  <c r="J50" i="3"/>
  <c r="J46" i="3"/>
  <c r="J108" i="3"/>
  <c r="M57" i="3"/>
  <c r="J109" i="3"/>
  <c r="M102" i="3"/>
  <c r="J88" i="3"/>
  <c r="J74" i="3"/>
  <c r="J42" i="3"/>
  <c r="M38" i="3"/>
  <c r="J10" i="3"/>
  <c r="M6" i="3"/>
  <c r="J56" i="3"/>
  <c r="M52" i="3"/>
  <c r="J24" i="3"/>
  <c r="M20" i="3"/>
  <c r="J115" i="3"/>
  <c r="M108" i="3"/>
  <c r="M98" i="3"/>
  <c r="J95" i="3"/>
  <c r="J84" i="3"/>
  <c r="J77" i="3"/>
  <c r="M66" i="3"/>
  <c r="J38" i="3"/>
  <c r="M34" i="3"/>
  <c r="J59" i="3"/>
  <c r="J52" i="3"/>
  <c r="M48" i="3"/>
  <c r="M16" i="3"/>
  <c r="J91" i="3"/>
  <c r="J80" i="3"/>
  <c r="J73" i="3"/>
  <c r="J66" i="3"/>
  <c r="M62" i="3"/>
  <c r="J41" i="3"/>
  <c r="J34" i="3"/>
  <c r="M30" i="3"/>
  <c r="J9" i="3"/>
  <c r="J111" i="3"/>
  <c r="M104" i="3"/>
  <c r="M90" i="3"/>
  <c r="J87" i="3"/>
  <c r="J62" i="3"/>
  <c r="M58" i="3"/>
  <c r="J30" i="3"/>
  <c r="M26" i="3"/>
  <c r="J5" i="3"/>
  <c r="J44" i="3"/>
  <c r="M40" i="3"/>
  <c r="M8" i="3"/>
  <c r="M110" i="3"/>
  <c r="M86" i="3"/>
  <c r="J83" i="3"/>
  <c r="J65" i="3"/>
  <c r="J58" i="3"/>
  <c r="M54" i="3"/>
  <c r="J26" i="3"/>
  <c r="M22" i="3"/>
  <c r="J86" i="3"/>
  <c r="J79" i="3"/>
  <c r="J47" i="3"/>
  <c r="J40" i="3"/>
  <c r="M36" i="3"/>
  <c r="J15" i="3"/>
  <c r="J8" i="3"/>
  <c r="J100" i="3"/>
  <c r="M96" i="3"/>
  <c r="J93" i="3"/>
  <c r="J82" i="3"/>
  <c r="J75" i="3"/>
  <c r="J68" i="3"/>
  <c r="M64" i="3"/>
  <c r="J43" i="3"/>
  <c r="J36" i="3"/>
  <c r="M32" i="3"/>
  <c r="J11" i="3"/>
  <c r="M92" i="3"/>
  <c r="J89" i="3"/>
  <c r="J71" i="3"/>
  <c r="J64" i="3"/>
  <c r="M60" i="3"/>
  <c r="J39" i="3"/>
  <c r="J32" i="3"/>
  <c r="M28" i="3"/>
  <c r="J7" i="3"/>
  <c r="J92" i="3"/>
  <c r="J53" i="3"/>
  <c r="J21" i="3"/>
  <c r="Q82" i="2"/>
  <c r="M70" i="3"/>
  <c r="J70" i="3"/>
  <c r="M114" i="2"/>
  <c r="M109" i="2"/>
  <c r="M108" i="2"/>
  <c r="M107" i="2"/>
  <c r="Q107" i="2"/>
  <c r="M106" i="2"/>
  <c r="M105" i="2"/>
  <c r="Q105" i="2"/>
  <c r="M104" i="2"/>
  <c r="M103" i="2"/>
  <c r="Q103" i="2"/>
  <c r="M102" i="2"/>
  <c r="M100" i="2"/>
  <c r="M98" i="2"/>
  <c r="M96" i="2"/>
  <c r="M95" i="2"/>
  <c r="Q95" i="2"/>
  <c r="Q94" i="2"/>
  <c r="M94" i="2"/>
  <c r="M93" i="2"/>
  <c r="Q93" i="2"/>
  <c r="M92" i="2"/>
  <c r="M91" i="2"/>
  <c r="Q91" i="2"/>
  <c r="M86" i="2"/>
  <c r="M87" i="2"/>
  <c r="M88" i="2"/>
  <c r="M89" i="2"/>
  <c r="Q85" i="2"/>
  <c r="M85" i="2"/>
  <c r="M84" i="2"/>
  <c r="M83" i="2"/>
  <c r="Q83" i="2"/>
  <c r="M82" i="2"/>
  <c r="M81" i="2"/>
  <c r="Q81" i="2"/>
  <c r="M24" i="2"/>
  <c r="M16" i="2"/>
  <c r="M79" i="2"/>
  <c r="Q79" i="2"/>
  <c r="Q78" i="2"/>
  <c r="M78" i="2"/>
  <c r="M77" i="2"/>
  <c r="Q77" i="2"/>
  <c r="M76" i="2"/>
  <c r="Q76" i="2"/>
  <c r="M75" i="2"/>
  <c r="Q75" i="2"/>
  <c r="M74" i="2"/>
  <c r="Q74" i="2"/>
  <c r="Q73" i="2"/>
  <c r="M73" i="2"/>
  <c r="Q72" i="2"/>
  <c r="M72" i="2"/>
  <c r="M71" i="2"/>
  <c r="Q71" i="2"/>
  <c r="M68" i="2"/>
  <c r="Q68" i="2"/>
  <c r="M67" i="2"/>
  <c r="Q66" i="2"/>
  <c r="M66" i="2"/>
  <c r="Q65" i="2"/>
  <c r="M64" i="2"/>
  <c r="Q63" i="2"/>
  <c r="M63" i="2"/>
  <c r="M62" i="2"/>
  <c r="Q62" i="2"/>
  <c r="Q8" i="2"/>
  <c r="M44" i="2"/>
  <c r="Q44" i="2"/>
  <c r="M41" i="2"/>
  <c r="Q41" i="2"/>
</calcChain>
</file>

<file path=xl/sharedStrings.xml><?xml version="1.0" encoding="utf-8"?>
<sst xmlns="http://schemas.openxmlformats.org/spreadsheetml/2006/main" count="407" uniqueCount="44">
  <si>
    <t>Network</t>
  </si>
  <si>
    <t>m</t>
  </si>
  <si>
    <t>CP1(pred)</t>
  </si>
  <si>
    <t>CP1(Real)</t>
  </si>
  <si>
    <t>CP2(pred)</t>
  </si>
  <si>
    <t>CP2(Real)</t>
  </si>
  <si>
    <t>CP3(pred)</t>
  </si>
  <si>
    <t>CP3(Real)</t>
  </si>
  <si>
    <t>Complete</t>
  </si>
  <si>
    <t>Regular1</t>
  </si>
  <si>
    <t>Regular2</t>
  </si>
  <si>
    <t>Regular3</t>
  </si>
  <si>
    <t>Regular4</t>
  </si>
  <si>
    <t>Regular5</t>
  </si>
  <si>
    <t>WS1</t>
  </si>
  <si>
    <t>WS2</t>
  </si>
  <si>
    <t>WS3</t>
  </si>
  <si>
    <t>WS4</t>
  </si>
  <si>
    <t>WS5</t>
  </si>
  <si>
    <t>NW1</t>
  </si>
  <si>
    <t>NW2</t>
  </si>
  <si>
    <t>NW3</t>
  </si>
  <si>
    <t>NW4</t>
  </si>
  <si>
    <t>NW5</t>
  </si>
  <si>
    <t>SF1</t>
  </si>
  <si>
    <t>SF2</t>
  </si>
  <si>
    <t>SF3</t>
  </si>
  <si>
    <t>SF4</t>
  </si>
  <si>
    <t>SF5</t>
  </si>
  <si>
    <t>Star</t>
  </si>
  <si>
    <t>Newtwork</t>
  </si>
  <si>
    <t xml:space="preserve">CP1(pred) </t>
  </si>
  <si>
    <t xml:space="preserve">Star </t>
  </si>
  <si>
    <t>CP1 Relative Error</t>
  </si>
  <si>
    <t>CP2 Relative Error</t>
  </si>
  <si>
    <t>CP3 Relative Error</t>
  </si>
  <si>
    <t>Mean Relative Error</t>
  </si>
  <si>
    <t>CP1 Signed Relative Error</t>
  </si>
  <si>
    <t>CP2 Signed Relative Error</t>
  </si>
  <si>
    <t>CP3 Signed Relative Error</t>
  </si>
  <si>
    <t>Mean Signed Relative Error</t>
  </si>
  <si>
    <t xml:space="preserve">B_eff </t>
  </si>
  <si>
    <t>C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</si>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</sst>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3F3F3F"/>
      <name val="Calibri"/>
      <family val="2"/>
      <scheme val="minor"/>
    </font>
    <font>
      <b/>
      <i/>
      <sz val="11"/>
      <color rgb="FF3F3F3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2" borderId="2" applyNumberFormat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</cellStyleXfs>
  <cellXfs count="10">
    <xf numFmtId="0" fontId="0" fillId="0" borderId="0" xfId="0"/>
    <xf numFmtId="11" fontId="6" fillId="3" borderId="1" xfId="2" applyNumberFormat="1" applyFont="1" applyBorder="1" applyAlignment="1">
      <alignment horizontal="center" vertical="center"/>
    </xf>
    <xf numFmtId="0" fontId="7" fillId="4" borderId="2" xfId="3" applyFont="1" applyBorder="1" applyAlignment="1">
      <alignment horizontal="center" vertical="center"/>
    </xf>
    <xf numFmtId="0" fontId="8" fillId="2" borderId="2" xfId="1" applyNumberFormat="1" applyFont="1" applyAlignment="1">
      <alignment horizontal="center" vertical="center"/>
    </xf>
    <xf numFmtId="0" fontId="9" fillId="2" borderId="2" xfId="1" applyNumberFormat="1" applyFont="1" applyAlignment="1">
      <alignment horizontal="center" vertical="center"/>
    </xf>
    <xf numFmtId="0" fontId="1" fillId="0" borderId="0" xfId="0" applyFont="1"/>
    <xf numFmtId="0" fontId="4" fillId="3" borderId="4" xfId="2" applyFont="1" applyBorder="1" applyAlignment="1">
      <alignment horizontal="center" vertical="center"/>
    </xf>
    <xf numFmtId="0" fontId="6" fillId="3" borderId="4" xfId="2" applyFont="1" applyBorder="1" applyAlignment="1">
      <alignment horizontal="center" vertical="center"/>
    </xf>
    <xf numFmtId="0" fontId="2" fillId="2" borderId="3" xfId="1" applyFont="1" applyBorder="1" applyAlignment="1">
      <alignment horizontal="center" vertical="center"/>
    </xf>
    <xf numFmtId="11" fontId="8" fillId="2" borderId="2" xfId="1" applyNumberFormat="1" applyFont="1" applyAlignment="1">
      <alignment horizontal="center" vertical="center"/>
    </xf>
  </cellXfs>
  <cellStyles count="4">
    <cellStyle name="20% - Accent1" xfId="2" builtinId="30"/>
    <cellStyle name="Accent2" xfId="3" builtinId="33"/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161925</xdr:colOff>
      <xdr:row>16</xdr:row>
      <xdr:rowOff>14287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EFAF857-D770-4A36-AE42-FCAE5E3D288C}"/>
            </a:ext>
          </a:extLst>
        </xdr:cNvPr>
        <xdr:cNvSpPr txBox="1"/>
      </xdr:nvSpPr>
      <xdr:spPr>
        <a:xfrm>
          <a:off x="828675" y="30622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</xdr:col>
      <xdr:colOff>161925</xdr:colOff>
      <xdr:row>22</xdr:row>
      <xdr:rowOff>14287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CC64FA5-1EDC-485C-87C9-B1B4D8AEDFA9}"/>
            </a:ext>
          </a:extLst>
        </xdr:cNvPr>
        <xdr:cNvSpPr txBox="1"/>
      </xdr:nvSpPr>
      <xdr:spPr>
        <a:xfrm>
          <a:off x="828675" y="42052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</xdr:col>
      <xdr:colOff>161925</xdr:colOff>
      <xdr:row>86</xdr:row>
      <xdr:rowOff>14287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E89A60A7-F908-434E-BFBD-6501DAFEF05D}"/>
            </a:ext>
          </a:extLst>
        </xdr:cNvPr>
        <xdr:cNvSpPr txBox="1"/>
      </xdr:nvSpPr>
      <xdr:spPr>
        <a:xfrm>
          <a:off x="847725" y="1574196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US" sz="1100" kern="1200"/>
        </a:p>
      </xdr:txBody>
    </xdr:sp>
    <xdr:clientData/>
  </xdr:oneCellAnchor>
  <xdr:oneCellAnchor>
    <xdr:from>
      <xdr:col>1</xdr:col>
      <xdr:colOff>161925</xdr:colOff>
      <xdr:row>87</xdr:row>
      <xdr:rowOff>14287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97474C92-FD53-4DA3-AE5E-8B3AFFAC3B94}"/>
            </a:ext>
          </a:extLst>
        </xdr:cNvPr>
        <xdr:cNvSpPr txBox="1"/>
      </xdr:nvSpPr>
      <xdr:spPr>
        <a:xfrm>
          <a:off x="847725" y="159248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US" sz="1100" kern="1200"/>
        </a:p>
      </xdr:txBody>
    </xdr:sp>
    <xdr:clientData/>
  </xdr:oneCellAnchor>
  <xdr:oneCellAnchor>
    <xdr:from>
      <xdr:col>1</xdr:col>
      <xdr:colOff>161925</xdr:colOff>
      <xdr:row>88</xdr:row>
      <xdr:rowOff>14287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5E96F683-958A-42EF-95A3-744F2F2907B0}"/>
            </a:ext>
          </a:extLst>
        </xdr:cNvPr>
        <xdr:cNvSpPr txBox="1"/>
      </xdr:nvSpPr>
      <xdr:spPr>
        <a:xfrm>
          <a:off x="847725" y="1610772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US" sz="1100" kern="1200"/>
        </a:p>
      </xdr:txBody>
    </xdr:sp>
    <xdr:clientData/>
  </xdr:oneCellAnchor>
  <xdr:oneCellAnchor>
    <xdr:from>
      <xdr:col>1</xdr:col>
      <xdr:colOff>161925</xdr:colOff>
      <xdr:row>89</xdr:row>
      <xdr:rowOff>14287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87434F1-F791-4AB4-A6EE-D36EA4DBD152}"/>
            </a:ext>
          </a:extLst>
        </xdr:cNvPr>
        <xdr:cNvSpPr txBox="1"/>
      </xdr:nvSpPr>
      <xdr:spPr>
        <a:xfrm>
          <a:off x="847725" y="162906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US" sz="1100" kern="1200"/>
        </a:p>
      </xdr:txBody>
    </xdr:sp>
    <xdr:clientData/>
  </xdr:oneCellAnchor>
  <xdr:oneCellAnchor>
    <xdr:from>
      <xdr:col>1</xdr:col>
      <xdr:colOff>161925</xdr:colOff>
      <xdr:row>90</xdr:row>
      <xdr:rowOff>14287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92F6EBD6-DEB0-490C-B853-8AC740644160}"/>
            </a:ext>
          </a:extLst>
        </xdr:cNvPr>
        <xdr:cNvSpPr txBox="1"/>
      </xdr:nvSpPr>
      <xdr:spPr>
        <a:xfrm>
          <a:off x="847725" y="164734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US" sz="1100" kern="1200"/>
        </a:p>
      </xdr:txBody>
    </xdr:sp>
    <xdr:clientData/>
  </xdr:oneCellAnchor>
  <xdr:oneCellAnchor>
    <xdr:from>
      <xdr:col>1</xdr:col>
      <xdr:colOff>161925</xdr:colOff>
      <xdr:row>97</xdr:row>
      <xdr:rowOff>14287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F5B5AE5B-2434-415F-8650-D5B881A991A2}"/>
            </a:ext>
          </a:extLst>
        </xdr:cNvPr>
        <xdr:cNvSpPr txBox="1"/>
      </xdr:nvSpPr>
      <xdr:spPr>
        <a:xfrm>
          <a:off x="847725" y="177536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US" sz="1100" kern="1200"/>
        </a:p>
      </xdr:txBody>
    </xdr:sp>
    <xdr:clientData/>
  </xdr:oneCellAnchor>
  <xdr:oneCellAnchor>
    <xdr:from>
      <xdr:col>1</xdr:col>
      <xdr:colOff>161925</xdr:colOff>
      <xdr:row>17</xdr:row>
      <xdr:rowOff>14287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C9F6E39-FEC7-43F8-A722-771430975957}"/>
            </a:ext>
          </a:extLst>
        </xdr:cNvPr>
        <xdr:cNvSpPr txBox="1"/>
      </xdr:nvSpPr>
      <xdr:spPr>
        <a:xfrm>
          <a:off x="828675" y="30622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</xdr:col>
      <xdr:colOff>161925</xdr:colOff>
      <xdr:row>18</xdr:row>
      <xdr:rowOff>14287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E1B8E3B0-97DF-4649-9F51-F2B8D0E027B5}"/>
            </a:ext>
          </a:extLst>
        </xdr:cNvPr>
        <xdr:cNvSpPr txBox="1"/>
      </xdr:nvSpPr>
      <xdr:spPr>
        <a:xfrm>
          <a:off x="828675" y="30622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</xdr:col>
      <xdr:colOff>161925</xdr:colOff>
      <xdr:row>19</xdr:row>
      <xdr:rowOff>14287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18088F20-FDF9-4351-AE37-9AF204CE2844}"/>
            </a:ext>
          </a:extLst>
        </xdr:cNvPr>
        <xdr:cNvSpPr txBox="1"/>
      </xdr:nvSpPr>
      <xdr:spPr>
        <a:xfrm>
          <a:off x="828675" y="30622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</xdr:col>
      <xdr:colOff>161925</xdr:colOff>
      <xdr:row>21</xdr:row>
      <xdr:rowOff>14287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5EFB96F4-84AB-47ED-97C4-C3C792559227}"/>
            </a:ext>
          </a:extLst>
        </xdr:cNvPr>
        <xdr:cNvSpPr txBox="1"/>
      </xdr:nvSpPr>
      <xdr:spPr>
        <a:xfrm>
          <a:off x="828675" y="30622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5"/>
  <sheetViews>
    <sheetView topLeftCell="A103" zoomScaleNormal="100" workbookViewId="0">
      <selection activeCell="G21" sqref="G21"/>
    </sheetView>
  </sheetViews>
  <sheetFormatPr defaultRowHeight="14.4" x14ac:dyDescent="0.3"/>
  <cols>
    <col min="1" max="1" width="9.109375" bestFit="1" customWidth="1"/>
    <col min="2" max="2" width="8.21875" customWidth="1"/>
    <col min="3" max="3" width="6.6640625" bestFit="1" customWidth="1"/>
    <col min="4" max="5" width="10.33203125" bestFit="1" customWidth="1"/>
    <col min="6" max="6" width="11" customWidth="1"/>
    <col min="7" max="7" width="10.33203125" bestFit="1" customWidth="1"/>
    <col min="8" max="8" width="11" customWidth="1"/>
    <col min="9" max="9" width="10.33203125" bestFit="1" customWidth="1"/>
    <col min="10" max="12" width="16.6640625" bestFit="1" customWidth="1"/>
    <col min="13" max="13" width="18.6640625" bestFit="1" customWidth="1"/>
    <col min="14" max="16" width="23" bestFit="1" customWidth="1"/>
    <col min="17" max="17" width="24.88671875" bestFit="1" customWidth="1"/>
  </cols>
  <sheetData>
    <row r="1" spans="1:17" s="5" customFormat="1" x14ac:dyDescent="0.3">
      <c r="A1" s="8" t="s">
        <v>0</v>
      </c>
      <c r="B1" s="6" t="s">
        <v>1</v>
      </c>
      <c r="C1" s="4" t="s">
        <v>41</v>
      </c>
      <c r="D1" s="6" t="s">
        <v>2</v>
      </c>
      <c r="E1" s="4" t="s">
        <v>3</v>
      </c>
      <c r="F1" s="6" t="s">
        <v>4</v>
      </c>
      <c r="G1" s="4" t="s">
        <v>5</v>
      </c>
      <c r="H1" s="6" t="s">
        <v>6</v>
      </c>
      <c r="I1" s="4" t="s">
        <v>7</v>
      </c>
      <c r="J1" s="6" t="s">
        <v>33</v>
      </c>
      <c r="K1" s="4" t="s">
        <v>34</v>
      </c>
      <c r="L1" s="6" t="s">
        <v>35</v>
      </c>
      <c r="M1" s="4" t="s">
        <v>36</v>
      </c>
      <c r="N1" s="6" t="s">
        <v>37</v>
      </c>
      <c r="O1" s="4" t="s">
        <v>38</v>
      </c>
      <c r="P1" s="6" t="s">
        <v>39</v>
      </c>
      <c r="Q1" s="4" t="s">
        <v>40</v>
      </c>
    </row>
    <row r="2" spans="1:17" x14ac:dyDescent="0.3">
      <c r="A2" s="8" t="s">
        <v>8</v>
      </c>
      <c r="B2" s="7" t="s">
        <v>43</v>
      </c>
      <c r="C2" s="3">
        <v>99</v>
      </c>
      <c r="D2" s="1">
        <v>9.6299999999999999E-4</v>
      </c>
      <c r="E2" s="9">
        <v>9.7300000000000002E-4</v>
      </c>
      <c r="F2" s="1">
        <v>7.4299999999999995E-4</v>
      </c>
      <c r="G2" s="9">
        <v>7.5000000000000002E-4</v>
      </c>
      <c r="H2" s="1">
        <v>6.7900000000000002E-4</v>
      </c>
      <c r="I2" s="9">
        <v>6.8499999999999995E-4</v>
      </c>
      <c r="J2" s="7">
        <f>IF(OR(D2="",E2="",E2=0),"",100*ABS(D2-E2)/ABS(E2))</f>
        <v>1.0277492291880808</v>
      </c>
      <c r="K2" s="3">
        <f>IF(OR(F2="",G2="",G2=0),"",100*ABS(F2-G2)/ABS(G2))</f>
        <v>0.93333333333334156</v>
      </c>
      <c r="L2" s="1">
        <f>IF(OR(H2="",I2="",I2=0),"",100*ABS(H2-I2)/ABS(I2))</f>
        <v>0.8759124087591138</v>
      </c>
      <c r="M2" s="9">
        <f>IFERROR(AVERAGE(J2:L2),"")</f>
        <v>0.94566499042684538</v>
      </c>
      <c r="N2" s="1">
        <f>IF(OR(D2="",E2="",E2=0),"",100*(D2-E2)/E2)</f>
        <v>-1.0277492291880808</v>
      </c>
      <c r="O2" s="9">
        <f>IF(OR(F2="",G2="",G2=0),"",100*(F2-G2)/G2)</f>
        <v>-0.93333333333334156</v>
      </c>
      <c r="P2" s="1">
        <f>IF(OR(H2="",I2="",I2=0),"",100*(H2-I2)/I2)</f>
        <v>-0.8759124087591138</v>
      </c>
      <c r="Q2" s="9">
        <f>IFERROR(AVERAGE(N2:P2),"")</f>
        <v>-0.94566499042684538</v>
      </c>
    </row>
    <row r="3" spans="1:17" x14ac:dyDescent="0.3">
      <c r="A3" s="8" t="s">
        <v>9</v>
      </c>
      <c r="B3" s="7" t="s">
        <v>43</v>
      </c>
      <c r="C3" s="3">
        <v>4</v>
      </c>
      <c r="D3" s="1">
        <v>2.3800000000000002E-2</v>
      </c>
      <c r="E3" s="9">
        <v>2.41E-2</v>
      </c>
      <c r="F3" s="1">
        <v>1.84E-2</v>
      </c>
      <c r="G3" s="9">
        <v>1.8599999999999998E-2</v>
      </c>
      <c r="H3" s="1">
        <v>1.6799999999999999E-2</v>
      </c>
      <c r="I3" s="9">
        <v>1.6899999999999998E-2</v>
      </c>
      <c r="J3" s="7">
        <f t="shared" ref="J3:J66" si="0">IF(OR(D3="",E3="",E3=0),"",100*ABS(D3-E3)/ABS(E3))</f>
        <v>1.2448132780082912</v>
      </c>
      <c r="K3" s="3">
        <f t="shared" ref="K3:K66" si="1">IF(OR(F3="",G3="",G3=0),"",100*ABS(F3-G3)/ABS(G3))</f>
        <v>1.0752688172042946</v>
      </c>
      <c r="L3" s="1">
        <f t="shared" ref="L3:L66" si="2">IF(OR(H3="",I3="",I3=0),"",100*ABS(H3-I3)/ABS(I3))</f>
        <v>0.59171597633135742</v>
      </c>
      <c r="M3" s="9">
        <f t="shared" ref="M3:M66" si="3">IFERROR(AVERAGE(J3:L3),"")</f>
        <v>0.97059935718131429</v>
      </c>
      <c r="N3" s="1">
        <f t="shared" ref="N3:N66" si="4">IF(OR(D3="",E3="",E3=0),"",100*(D3-E3)/E3)</f>
        <v>-1.2448132780082912</v>
      </c>
      <c r="O3" s="9">
        <f t="shared" ref="O3:O66" si="5">IF(OR(F3="",G3="",G3=0),"",100*(F3-G3)/G3)</f>
        <v>-1.0752688172042946</v>
      </c>
      <c r="P3" s="1">
        <f t="shared" ref="P3:P66" si="6">IF(OR(H3="",I3="",I3=0),"",100*(H3-I3)/I3)</f>
        <v>-0.59171597633135742</v>
      </c>
      <c r="Q3" s="9">
        <f t="shared" ref="Q3:Q66" si="7">IFERROR(AVERAGE(N3:P3),"")</f>
        <v>-0.97059935718131429</v>
      </c>
    </row>
    <row r="4" spans="1:17" x14ac:dyDescent="0.3">
      <c r="A4" s="8" t="s">
        <v>10</v>
      </c>
      <c r="B4" s="7" t="s">
        <v>43</v>
      </c>
      <c r="C4" s="3">
        <v>8</v>
      </c>
      <c r="D4" s="1">
        <v>1.1900000000000001E-2</v>
      </c>
      <c r="E4" s="9">
        <v>1.2E-2</v>
      </c>
      <c r="F4" s="1">
        <v>9.2099999999999994E-3</v>
      </c>
      <c r="G4" s="9">
        <v>9.2899999999999996E-3</v>
      </c>
      <c r="H4" s="1">
        <v>8.4100000000000008E-3</v>
      </c>
      <c r="I4" s="9">
        <v>8.4899999999999993E-3</v>
      </c>
      <c r="J4" s="7">
        <f t="shared" si="0"/>
        <v>0.83333333333332826</v>
      </c>
      <c r="K4" s="3">
        <f t="shared" si="1"/>
        <v>0.86114101184069125</v>
      </c>
      <c r="L4" s="1">
        <f t="shared" si="2"/>
        <v>0.94228504122495271</v>
      </c>
      <c r="M4" s="9">
        <f t="shared" si="3"/>
        <v>0.87891979546632415</v>
      </c>
      <c r="N4" s="1">
        <f t="shared" si="4"/>
        <v>-0.83333333333332826</v>
      </c>
      <c r="O4" s="9">
        <f t="shared" si="5"/>
        <v>-0.86114101184069125</v>
      </c>
      <c r="P4" s="1">
        <f t="shared" si="6"/>
        <v>-0.94228504122495271</v>
      </c>
      <c r="Q4" s="9">
        <f t="shared" si="7"/>
        <v>-0.87891979546632415</v>
      </c>
    </row>
    <row r="5" spans="1:17" x14ac:dyDescent="0.3">
      <c r="A5" s="8" t="s">
        <v>11</v>
      </c>
      <c r="B5" s="7" t="s">
        <v>43</v>
      </c>
      <c r="C5" s="3">
        <v>12</v>
      </c>
      <c r="D5" s="1">
        <v>7.9500000000000005E-3</v>
      </c>
      <c r="E5" s="9">
        <v>8.0300000000000007E-3</v>
      </c>
      <c r="F5" s="1">
        <v>6.1399999999999996E-3</v>
      </c>
      <c r="G5" s="9">
        <v>6.1999999999999998E-3</v>
      </c>
      <c r="H5" s="1">
        <v>5.6100000000000004E-3</v>
      </c>
      <c r="I5" s="9">
        <v>5.62E-3</v>
      </c>
      <c r="J5" s="7">
        <f t="shared" si="0"/>
        <v>0.99626400996264264</v>
      </c>
      <c r="K5" s="3">
        <f t="shared" si="1"/>
        <v>0.96774193548387355</v>
      </c>
      <c r="L5" s="1">
        <f t="shared" si="2"/>
        <v>0.17793594306049096</v>
      </c>
      <c r="M5" s="9">
        <f t="shared" si="3"/>
        <v>0.71398062950233576</v>
      </c>
      <c r="N5" s="1">
        <f t="shared" si="4"/>
        <v>-0.99626400996264264</v>
      </c>
      <c r="O5" s="9">
        <f t="shared" si="5"/>
        <v>-0.96774193548387355</v>
      </c>
      <c r="P5" s="1">
        <f t="shared" si="6"/>
        <v>-0.17793594306049096</v>
      </c>
      <c r="Q5" s="9">
        <f t="shared" si="7"/>
        <v>-0.71398062950233576</v>
      </c>
    </row>
    <row r="6" spans="1:17" x14ac:dyDescent="0.3">
      <c r="A6" s="8" t="s">
        <v>12</v>
      </c>
      <c r="B6" s="7" t="s">
        <v>43</v>
      </c>
      <c r="C6" s="3">
        <v>16</v>
      </c>
      <c r="D6" s="1">
        <v>5.96E-3</v>
      </c>
      <c r="E6" s="9">
        <v>6.0099999999999997E-3</v>
      </c>
      <c r="F6" s="1">
        <v>4.5999999999999999E-3</v>
      </c>
      <c r="G6" s="9">
        <v>4.6499999999999996E-3</v>
      </c>
      <c r="H6" s="1">
        <v>4.2100000000000002E-3</v>
      </c>
      <c r="I6" s="9">
        <v>4.2100000000000002E-3</v>
      </c>
      <c r="J6" s="7">
        <f t="shared" si="0"/>
        <v>0.83194675540764895</v>
      </c>
      <c r="K6" s="3">
        <f t="shared" si="1"/>
        <v>1.0752688172042946</v>
      </c>
      <c r="L6" s="1">
        <f t="shared" si="2"/>
        <v>0</v>
      </c>
      <c r="M6" s="9">
        <f t="shared" si="3"/>
        <v>0.63573852420398114</v>
      </c>
      <c r="N6" s="1">
        <f t="shared" si="4"/>
        <v>-0.83194675540764895</v>
      </c>
      <c r="O6" s="9">
        <f t="shared" si="5"/>
        <v>-1.0752688172042946</v>
      </c>
      <c r="P6" s="1">
        <f t="shared" si="6"/>
        <v>0</v>
      </c>
      <c r="Q6" s="9">
        <f t="shared" si="7"/>
        <v>-0.63573852420398114</v>
      </c>
    </row>
    <row r="7" spans="1:17" x14ac:dyDescent="0.3">
      <c r="A7" s="8" t="s">
        <v>13</v>
      </c>
      <c r="B7" s="7" t="s">
        <v>43</v>
      </c>
      <c r="C7" s="3">
        <v>20</v>
      </c>
      <c r="D7" s="1">
        <v>4.7699999999999999E-3</v>
      </c>
      <c r="E7" s="9">
        <v>4.7980000000000002E-3</v>
      </c>
      <c r="F7" s="1">
        <v>3.6800000000000001E-3</v>
      </c>
      <c r="G7" s="9">
        <v>3.7100000000000002E-3</v>
      </c>
      <c r="H7" s="1">
        <v>3.3700000000000002E-3</v>
      </c>
      <c r="I7" s="9">
        <v>3.3700000000000002E-3</v>
      </c>
      <c r="J7" s="7">
        <f t="shared" si="0"/>
        <v>0.58357649020425695</v>
      </c>
      <c r="K7" s="3">
        <f t="shared" si="1"/>
        <v>0.80862533692722582</v>
      </c>
      <c r="L7" s="1">
        <f t="shared" si="2"/>
        <v>0</v>
      </c>
      <c r="M7" s="9">
        <f t="shared" si="3"/>
        <v>0.46406727571049428</v>
      </c>
      <c r="N7" s="1">
        <f t="shared" si="4"/>
        <v>-0.58357649020425695</v>
      </c>
      <c r="O7" s="9">
        <f t="shared" si="5"/>
        <v>-0.80862533692722582</v>
      </c>
      <c r="P7" s="1">
        <f t="shared" si="6"/>
        <v>0</v>
      </c>
      <c r="Q7" s="9">
        <f t="shared" si="7"/>
        <v>-0.46406727571049428</v>
      </c>
    </row>
    <row r="8" spans="1:17" x14ac:dyDescent="0.3">
      <c r="A8" s="8" t="s">
        <v>14</v>
      </c>
      <c r="B8" s="7">
        <v>1</v>
      </c>
      <c r="C8" s="3">
        <v>13</v>
      </c>
      <c r="D8" s="1">
        <v>7.3400000000000002E-3</v>
      </c>
      <c r="E8" s="9">
        <v>7.3899999999999999E-3</v>
      </c>
      <c r="F8" s="1">
        <v>5.6600000000000001E-3</v>
      </c>
      <c r="G8" s="9">
        <v>5.6899999999999997E-3</v>
      </c>
      <c r="H8" s="1">
        <v>5.1799999999999997E-3</v>
      </c>
      <c r="I8" s="9">
        <v>5.2100000000000002E-3</v>
      </c>
      <c r="J8" s="7">
        <f t="shared" si="0"/>
        <v>0.67658998646819624</v>
      </c>
      <c r="K8" s="3">
        <f t="shared" si="1"/>
        <v>0.52724077328646124</v>
      </c>
      <c r="L8" s="1">
        <f t="shared" si="2"/>
        <v>0.57581573896354143</v>
      </c>
      <c r="M8" s="9">
        <f t="shared" si="3"/>
        <v>0.5932154995727329</v>
      </c>
      <c r="N8" s="1">
        <f t="shared" si="4"/>
        <v>-0.67658998646819624</v>
      </c>
      <c r="O8" s="9">
        <f t="shared" si="5"/>
        <v>-0.52724077328646124</v>
      </c>
      <c r="P8" s="1">
        <f t="shared" si="6"/>
        <v>-0.57581573896354143</v>
      </c>
      <c r="Q8" s="9">
        <f t="shared" si="7"/>
        <v>-0.5932154995727329</v>
      </c>
    </row>
    <row r="9" spans="1:17" x14ac:dyDescent="0.3">
      <c r="A9" s="8" t="s">
        <v>14</v>
      </c>
      <c r="B9" s="7">
        <v>2</v>
      </c>
      <c r="C9" s="3">
        <v>14</v>
      </c>
      <c r="D9" s="1">
        <v>6.8100000000000001E-3</v>
      </c>
      <c r="E9" s="9">
        <v>6.8599999999999998E-3</v>
      </c>
      <c r="F9" s="1">
        <v>5.2599999999999999E-3</v>
      </c>
      <c r="G9" s="9">
        <v>5.2900000000000004E-3</v>
      </c>
      <c r="H9" s="1">
        <v>4.81E-3</v>
      </c>
      <c r="I9" s="9">
        <v>4.7999999999999996E-3</v>
      </c>
      <c r="J9" s="7">
        <f t="shared" si="0"/>
        <v>0.72886297376092857</v>
      </c>
      <c r="K9" s="3">
        <f t="shared" si="1"/>
        <v>0.56710775047259943</v>
      </c>
      <c r="L9" s="1">
        <f t="shared" si="2"/>
        <v>0.20833333333334295</v>
      </c>
      <c r="M9" s="9">
        <f t="shared" si="3"/>
        <v>0.50143468585562367</v>
      </c>
      <c r="N9" s="1">
        <f t="shared" si="4"/>
        <v>-0.72886297376092857</v>
      </c>
      <c r="O9" s="9">
        <f t="shared" si="5"/>
        <v>-0.56710775047259943</v>
      </c>
      <c r="P9" s="1">
        <f t="shared" si="6"/>
        <v>0.20833333333334295</v>
      </c>
      <c r="Q9" s="9">
        <f t="shared" si="7"/>
        <v>-0.36254579696672828</v>
      </c>
    </row>
    <row r="10" spans="1:17" x14ac:dyDescent="0.3">
      <c r="A10" s="8" t="s">
        <v>14</v>
      </c>
      <c r="B10" s="7">
        <v>3</v>
      </c>
      <c r="C10" s="3">
        <v>15</v>
      </c>
      <c r="D10" s="1">
        <v>6.3600000000000002E-3</v>
      </c>
      <c r="E10" s="9">
        <v>6.3899999999999998E-3</v>
      </c>
      <c r="F10" s="1">
        <v>4.9100000000000003E-3</v>
      </c>
      <c r="G10" s="9">
        <v>5.0000000000000001E-3</v>
      </c>
      <c r="H10" s="1">
        <v>4.4900000000000001E-3</v>
      </c>
      <c r="I10" s="2"/>
      <c r="J10" s="7">
        <f t="shared" si="0"/>
        <v>0.46948356807511182</v>
      </c>
      <c r="K10" s="3">
        <f t="shared" si="1"/>
        <v>1.799999999999996</v>
      </c>
      <c r="L10" s="1" t="str">
        <f t="shared" si="2"/>
        <v/>
      </c>
      <c r="M10" s="9">
        <f t="shared" si="3"/>
        <v>1.134741784037554</v>
      </c>
      <c r="N10" s="1">
        <f t="shared" si="4"/>
        <v>-0.46948356807511182</v>
      </c>
      <c r="O10" s="9">
        <f t="shared" si="5"/>
        <v>-1.799999999999996</v>
      </c>
      <c r="P10" s="1" t="str">
        <f t="shared" si="6"/>
        <v/>
      </c>
      <c r="Q10" s="9">
        <f t="shared" si="7"/>
        <v>-1.134741784037554</v>
      </c>
    </row>
    <row r="11" spans="1:17" x14ac:dyDescent="0.3">
      <c r="A11" s="8" t="s">
        <v>14</v>
      </c>
      <c r="B11" s="7">
        <v>4</v>
      </c>
      <c r="C11" s="3">
        <v>16</v>
      </c>
      <c r="D11" s="1">
        <v>5.96E-3</v>
      </c>
      <c r="E11" s="9">
        <v>5.9899999999999997E-3</v>
      </c>
      <c r="F11" s="1">
        <v>4.5999999999999999E-3</v>
      </c>
      <c r="G11" s="9">
        <v>4.6600000000000001E-3</v>
      </c>
      <c r="H11" s="1">
        <v>4.2100000000000002E-3</v>
      </c>
      <c r="I11" s="2"/>
      <c r="J11" s="7">
        <f t="shared" si="0"/>
        <v>0.50083472454089561</v>
      </c>
      <c r="K11" s="3">
        <f t="shared" si="1"/>
        <v>1.2875536480686729</v>
      </c>
      <c r="L11" s="1" t="str">
        <f t="shared" si="2"/>
        <v/>
      </c>
      <c r="M11" s="9">
        <f t="shared" si="3"/>
        <v>0.8941941863047842</v>
      </c>
      <c r="N11" s="1">
        <f t="shared" si="4"/>
        <v>-0.50083472454089561</v>
      </c>
      <c r="O11" s="9">
        <f t="shared" si="5"/>
        <v>-1.2875536480686729</v>
      </c>
      <c r="P11" s="1" t="str">
        <f t="shared" si="6"/>
        <v/>
      </c>
      <c r="Q11" s="9">
        <f t="shared" si="7"/>
        <v>-0.8941941863047842</v>
      </c>
    </row>
    <row r="12" spans="1:17" x14ac:dyDescent="0.3">
      <c r="A12" s="8" t="s">
        <v>14</v>
      </c>
      <c r="B12" s="7">
        <v>5</v>
      </c>
      <c r="C12" s="3">
        <v>17</v>
      </c>
      <c r="D12" s="1">
        <v>5.6100000000000004E-3</v>
      </c>
      <c r="E12" s="9">
        <v>5.6499999999999996E-3</v>
      </c>
      <c r="F12" s="1">
        <v>4.3299999999999996E-3</v>
      </c>
      <c r="G12" s="9">
        <v>4.3699999999999998E-3</v>
      </c>
      <c r="H12" s="1">
        <v>3.96E-3</v>
      </c>
      <c r="I12" s="2"/>
      <c r="J12" s="7">
        <f t="shared" si="0"/>
        <v>0.70796460176989806</v>
      </c>
      <c r="K12" s="3">
        <f t="shared" si="1"/>
        <v>0.91533180778032286</v>
      </c>
      <c r="L12" s="1" t="str">
        <f t="shared" si="2"/>
        <v/>
      </c>
      <c r="M12" s="9">
        <f t="shared" si="3"/>
        <v>0.81164820477511046</v>
      </c>
      <c r="N12" s="1">
        <f t="shared" si="4"/>
        <v>-0.70796460176989806</v>
      </c>
      <c r="O12" s="9">
        <f t="shared" si="5"/>
        <v>-0.91533180778032286</v>
      </c>
      <c r="P12" s="1" t="str">
        <f t="shared" si="6"/>
        <v/>
      </c>
      <c r="Q12" s="9">
        <f t="shared" si="7"/>
        <v>-0.81164820477511046</v>
      </c>
    </row>
    <row r="13" spans="1:17" x14ac:dyDescent="0.3">
      <c r="A13" s="8" t="s">
        <v>14</v>
      </c>
      <c r="B13" s="7">
        <v>6</v>
      </c>
      <c r="C13" s="3">
        <v>18</v>
      </c>
      <c r="D13" s="1">
        <v>5.3E-3</v>
      </c>
      <c r="E13" s="9">
        <v>5.3299999999999997E-3</v>
      </c>
      <c r="F13" s="1">
        <v>4.0899999999999999E-3</v>
      </c>
      <c r="G13" s="2"/>
      <c r="H13" s="1">
        <v>3.7399999999999998E-3</v>
      </c>
      <c r="I13" s="2"/>
      <c r="J13" s="7">
        <f t="shared" si="0"/>
        <v>0.56285178236397082</v>
      </c>
      <c r="K13" s="3" t="str">
        <f t="shared" si="1"/>
        <v/>
      </c>
      <c r="L13" s="1" t="str">
        <f t="shared" si="2"/>
        <v/>
      </c>
      <c r="M13" s="9">
        <f t="shared" si="3"/>
        <v>0.56285178236397082</v>
      </c>
      <c r="N13" s="1">
        <f t="shared" si="4"/>
        <v>-0.56285178236397082</v>
      </c>
      <c r="O13" s="9" t="str">
        <f t="shared" si="5"/>
        <v/>
      </c>
      <c r="P13" s="1" t="str">
        <f t="shared" si="6"/>
        <v/>
      </c>
      <c r="Q13" s="9">
        <f t="shared" si="7"/>
        <v>-0.56285178236397082</v>
      </c>
    </row>
    <row r="14" spans="1:17" x14ac:dyDescent="0.3">
      <c r="A14" s="8" t="s">
        <v>14</v>
      </c>
      <c r="B14" s="7">
        <v>7</v>
      </c>
      <c r="C14" s="3">
        <v>19</v>
      </c>
      <c r="D14" s="1">
        <v>5.0200000000000002E-3</v>
      </c>
      <c r="E14" s="9">
        <v>5.0600000000000003E-3</v>
      </c>
      <c r="F14" s="1">
        <v>3.8800000000000002E-3</v>
      </c>
      <c r="G14" s="2"/>
      <c r="H14" s="1">
        <v>3.5400000000000002E-3</v>
      </c>
      <c r="I14" s="2"/>
      <c r="J14" s="7">
        <f t="shared" si="0"/>
        <v>0.79051383399209685</v>
      </c>
      <c r="K14" s="3" t="str">
        <f t="shared" si="1"/>
        <v/>
      </c>
      <c r="L14" s="1" t="str">
        <f t="shared" si="2"/>
        <v/>
      </c>
      <c r="M14" s="9">
        <f t="shared" si="3"/>
        <v>0.79051383399209685</v>
      </c>
      <c r="N14" s="1">
        <f t="shared" si="4"/>
        <v>-0.79051383399209685</v>
      </c>
      <c r="O14" s="9" t="str">
        <f t="shared" si="5"/>
        <v/>
      </c>
      <c r="P14" s="1" t="str">
        <f t="shared" si="6"/>
        <v/>
      </c>
      <c r="Q14" s="9">
        <f t="shared" si="7"/>
        <v>-0.79051383399209685</v>
      </c>
    </row>
    <row r="15" spans="1:17" x14ac:dyDescent="0.3">
      <c r="A15" s="8" t="s">
        <v>14</v>
      </c>
      <c r="B15" s="7">
        <v>8</v>
      </c>
      <c r="C15" s="3">
        <v>20</v>
      </c>
      <c r="D15" s="1">
        <v>4.7699999999999999E-3</v>
      </c>
      <c r="E15" s="9">
        <v>4.7999999999999996E-3</v>
      </c>
      <c r="F15" s="1">
        <v>3.6800000000000001E-3</v>
      </c>
      <c r="G15" s="2"/>
      <c r="H15" s="1">
        <v>3.3700000000000002E-3</v>
      </c>
      <c r="I15" s="2"/>
      <c r="J15" s="7">
        <f t="shared" si="0"/>
        <v>0.62499999999999267</v>
      </c>
      <c r="K15" s="3" t="str">
        <f t="shared" si="1"/>
        <v/>
      </c>
      <c r="L15" s="1" t="str">
        <f t="shared" si="2"/>
        <v/>
      </c>
      <c r="M15" s="9">
        <f t="shared" si="3"/>
        <v>0.62499999999999267</v>
      </c>
      <c r="N15" s="1">
        <f t="shared" si="4"/>
        <v>-0.62499999999999267</v>
      </c>
      <c r="O15" s="9" t="str">
        <f t="shared" si="5"/>
        <v/>
      </c>
      <c r="P15" s="1" t="str">
        <f t="shared" si="6"/>
        <v/>
      </c>
      <c r="Q15" s="9">
        <f t="shared" si="7"/>
        <v>-0.62499999999999267</v>
      </c>
    </row>
    <row r="16" spans="1:17" x14ac:dyDescent="0.3">
      <c r="A16" s="8" t="s">
        <v>15</v>
      </c>
      <c r="B16" s="7">
        <v>1</v>
      </c>
      <c r="C16" s="3">
        <v>11</v>
      </c>
      <c r="D16" s="1">
        <v>8.6700000000000006E-3</v>
      </c>
      <c r="E16" s="9">
        <v>8.7200000000000003E-3</v>
      </c>
      <c r="F16" s="1">
        <v>6.6899999999999998E-3</v>
      </c>
      <c r="G16" s="9">
        <v>6.7099999999999998E-3</v>
      </c>
      <c r="H16" s="1">
        <v>6.1199999999999996E-3</v>
      </c>
      <c r="I16" s="9">
        <v>6.1700000000000001E-3</v>
      </c>
      <c r="J16" s="7">
        <f t="shared" si="0"/>
        <v>0.5733944954128406</v>
      </c>
      <c r="K16" s="3">
        <f t="shared" si="1"/>
        <v>0.29806259314456113</v>
      </c>
      <c r="L16" s="1">
        <f t="shared" si="2"/>
        <v>0.81037277147488762</v>
      </c>
      <c r="M16" s="9">
        <f t="shared" si="3"/>
        <v>0.56060995334409647</v>
      </c>
      <c r="N16" s="1">
        <f t="shared" si="4"/>
        <v>-0.5733944954128406</v>
      </c>
      <c r="O16" s="9">
        <f t="shared" si="5"/>
        <v>-0.29806259314456113</v>
      </c>
      <c r="P16" s="1">
        <f t="shared" si="6"/>
        <v>-0.81037277147488762</v>
      </c>
      <c r="Q16" s="9">
        <f t="shared" si="7"/>
        <v>-0.56060995334409647</v>
      </c>
    </row>
    <row r="17" spans="1:17" x14ac:dyDescent="0.3">
      <c r="A17" s="8" t="s">
        <v>15</v>
      </c>
      <c r="B17" s="7">
        <v>2</v>
      </c>
      <c r="C17" s="3">
        <v>12</v>
      </c>
      <c r="D17" s="1">
        <v>7.9500000000000005E-3</v>
      </c>
      <c r="E17" s="9">
        <v>8.0000000000000002E-3</v>
      </c>
      <c r="F17" s="1">
        <v>6.1399999999999996E-3</v>
      </c>
      <c r="G17" s="9">
        <v>6.1700000000000001E-3</v>
      </c>
      <c r="H17" s="1">
        <v>5.6100000000000004E-3</v>
      </c>
      <c r="I17" s="9">
        <v>5.62E-3</v>
      </c>
      <c r="J17" s="7">
        <f>IF(OR(D17="",E17="",E17=0),"",100*ABS(D17-E17)/ABS(E17))</f>
        <v>0.62499999999999623</v>
      </c>
      <c r="K17" s="3">
        <f t="shared" si="1"/>
        <v>0.48622366288493535</v>
      </c>
      <c r="L17" s="1">
        <f t="shared" si="2"/>
        <v>0.17793594306049096</v>
      </c>
      <c r="M17" s="9">
        <f t="shared" si="3"/>
        <v>0.42971986864847422</v>
      </c>
      <c r="N17" s="1">
        <f t="shared" si="4"/>
        <v>-0.62499999999999623</v>
      </c>
      <c r="O17" s="9">
        <f t="shared" si="5"/>
        <v>-0.48622366288493535</v>
      </c>
      <c r="P17" s="1">
        <f t="shared" si="6"/>
        <v>-0.17793594306049096</v>
      </c>
      <c r="Q17" s="9">
        <f t="shared" si="7"/>
        <v>-0.42971986864847422</v>
      </c>
    </row>
    <row r="18" spans="1:17" x14ac:dyDescent="0.3">
      <c r="A18" s="8" t="s">
        <v>15</v>
      </c>
      <c r="B18" s="7">
        <v>3</v>
      </c>
      <c r="C18" s="3">
        <v>13</v>
      </c>
      <c r="D18" s="1">
        <v>7.3400000000000002E-3</v>
      </c>
      <c r="E18" s="9">
        <v>7.4000000000000003E-3</v>
      </c>
      <c r="F18" s="1">
        <v>5.6600000000000001E-3</v>
      </c>
      <c r="G18" s="9">
        <v>5.7099999999999998E-3</v>
      </c>
      <c r="H18" s="1">
        <v>5.1799999999999997E-3</v>
      </c>
      <c r="I18" s="9">
        <v>5.1999999999999998E-3</v>
      </c>
      <c r="J18" s="7">
        <f t="shared" si="0"/>
        <v>0.81081081081081285</v>
      </c>
      <c r="K18" s="3">
        <f t="shared" si="1"/>
        <v>0.87565674255691239</v>
      </c>
      <c r="L18" s="1">
        <f t="shared" si="2"/>
        <v>0.38461538461538564</v>
      </c>
      <c r="M18" s="9">
        <f t="shared" si="3"/>
        <v>0.69036097932770357</v>
      </c>
      <c r="N18" s="1">
        <f t="shared" si="4"/>
        <v>-0.81081081081081285</v>
      </c>
      <c r="O18" s="9">
        <f t="shared" si="5"/>
        <v>-0.87565674255691239</v>
      </c>
      <c r="P18" s="1">
        <f t="shared" si="6"/>
        <v>-0.38461538461538564</v>
      </c>
      <c r="Q18" s="9">
        <f t="shared" si="7"/>
        <v>-0.69036097932770357</v>
      </c>
    </row>
    <row r="19" spans="1:17" x14ac:dyDescent="0.3">
      <c r="A19" s="8" t="s">
        <v>15</v>
      </c>
      <c r="B19" s="7">
        <v>4</v>
      </c>
      <c r="C19" s="3">
        <v>14</v>
      </c>
      <c r="D19" s="1">
        <v>6.8100000000000001E-3</v>
      </c>
      <c r="E19" s="9">
        <v>6.8599999999999998E-3</v>
      </c>
      <c r="F19" s="1">
        <v>5.2599999999999999E-3</v>
      </c>
      <c r="G19" s="9">
        <v>5.3800000000000002E-3</v>
      </c>
      <c r="H19" s="1">
        <v>4.81E-3</v>
      </c>
      <c r="I19" s="2"/>
      <c r="J19" s="7">
        <f t="shared" si="0"/>
        <v>0.72886297376092857</v>
      </c>
      <c r="K19" s="3">
        <f t="shared" si="1"/>
        <v>2.2304832713754705</v>
      </c>
      <c r="L19" s="1" t="str">
        <f t="shared" si="2"/>
        <v/>
      </c>
      <c r="M19" s="9">
        <f t="shared" si="3"/>
        <v>1.4796731225681996</v>
      </c>
      <c r="N19" s="1">
        <f t="shared" si="4"/>
        <v>-0.72886297376092857</v>
      </c>
      <c r="O19" s="9">
        <f t="shared" si="5"/>
        <v>-2.2304832713754705</v>
      </c>
      <c r="P19" s="1" t="str">
        <f t="shared" si="6"/>
        <v/>
      </c>
      <c r="Q19" s="9">
        <f t="shared" si="7"/>
        <v>-1.4796731225681996</v>
      </c>
    </row>
    <row r="20" spans="1:17" x14ac:dyDescent="0.3">
      <c r="A20" s="8" t="s">
        <v>15</v>
      </c>
      <c r="B20" s="7">
        <v>5</v>
      </c>
      <c r="C20" s="3">
        <v>15</v>
      </c>
      <c r="D20" s="1">
        <v>6.3600000000000002E-3</v>
      </c>
      <c r="E20" s="9">
        <v>6.4099999999999999E-3</v>
      </c>
      <c r="F20" s="1">
        <v>4.9100000000000003E-3</v>
      </c>
      <c r="G20" s="9">
        <v>4.9899999999999996E-3</v>
      </c>
      <c r="H20" s="1">
        <v>4.4900000000000001E-3</v>
      </c>
      <c r="I20" s="2"/>
      <c r="J20" s="7">
        <f t="shared" si="0"/>
        <v>0.78003120124804526</v>
      </c>
      <c r="K20" s="3">
        <f t="shared" si="1"/>
        <v>1.6032064128256382</v>
      </c>
      <c r="L20" s="1" t="str">
        <f t="shared" si="2"/>
        <v/>
      </c>
      <c r="M20" s="9">
        <f t="shared" si="3"/>
        <v>1.1916188070368419</v>
      </c>
      <c r="N20" s="1">
        <f t="shared" si="4"/>
        <v>-0.78003120124804526</v>
      </c>
      <c r="O20" s="9">
        <f t="shared" si="5"/>
        <v>-1.6032064128256382</v>
      </c>
      <c r="P20" s="1" t="str">
        <f t="shared" si="6"/>
        <v/>
      </c>
      <c r="Q20" s="9">
        <f t="shared" si="7"/>
        <v>-1.1916188070368419</v>
      </c>
    </row>
    <row r="21" spans="1:17" x14ac:dyDescent="0.3">
      <c r="A21" s="8" t="s">
        <v>15</v>
      </c>
      <c r="B21" s="7">
        <v>6</v>
      </c>
      <c r="C21" s="3">
        <v>16</v>
      </c>
      <c r="D21" s="1">
        <v>5.96E-3</v>
      </c>
      <c r="E21" s="9">
        <v>6.0200000000000002E-3</v>
      </c>
      <c r="F21" s="1">
        <v>4.5999999999999999E-3</v>
      </c>
      <c r="G21" s="2"/>
      <c r="H21" s="1">
        <v>4.2100000000000002E-3</v>
      </c>
      <c r="I21" s="2"/>
      <c r="J21" s="7">
        <f t="shared" si="0"/>
        <v>0.99667774086378991</v>
      </c>
      <c r="K21" s="3" t="str">
        <f t="shared" si="1"/>
        <v/>
      </c>
      <c r="L21" s="1" t="str">
        <f t="shared" si="2"/>
        <v/>
      </c>
      <c r="M21" s="9">
        <f t="shared" si="3"/>
        <v>0.99667774086378991</v>
      </c>
      <c r="N21" s="1">
        <f t="shared" si="4"/>
        <v>-0.99667774086378991</v>
      </c>
      <c r="O21" s="9" t="str">
        <f t="shared" si="5"/>
        <v/>
      </c>
      <c r="P21" s="1" t="str">
        <f t="shared" si="6"/>
        <v/>
      </c>
      <c r="Q21" s="9">
        <f t="shared" si="7"/>
        <v>-0.99667774086378991</v>
      </c>
    </row>
    <row r="22" spans="1:17" x14ac:dyDescent="0.3">
      <c r="A22" s="8" t="s">
        <v>15</v>
      </c>
      <c r="B22" s="7">
        <v>7</v>
      </c>
      <c r="C22" s="3">
        <v>17</v>
      </c>
      <c r="D22" s="1">
        <v>5.6100000000000004E-3</v>
      </c>
      <c r="E22" s="9">
        <v>5.6499999999999996E-3</v>
      </c>
      <c r="F22" s="1">
        <v>4.3299999999999996E-3</v>
      </c>
      <c r="G22" s="2"/>
      <c r="H22" s="1">
        <v>3.96E-3</v>
      </c>
      <c r="I22" s="2"/>
      <c r="J22" s="7">
        <f t="shared" si="0"/>
        <v>0.70796460176989806</v>
      </c>
      <c r="K22" s="3" t="str">
        <f t="shared" si="1"/>
        <v/>
      </c>
      <c r="L22" s="1" t="str">
        <f t="shared" si="2"/>
        <v/>
      </c>
      <c r="M22" s="9">
        <f t="shared" si="3"/>
        <v>0.70796460176989806</v>
      </c>
      <c r="N22" s="1">
        <f t="shared" si="4"/>
        <v>-0.70796460176989806</v>
      </c>
      <c r="O22" s="9" t="str">
        <f t="shared" si="5"/>
        <v/>
      </c>
      <c r="P22" s="1" t="str">
        <f t="shared" si="6"/>
        <v/>
      </c>
      <c r="Q22" s="9">
        <f t="shared" si="7"/>
        <v>-0.70796460176989806</v>
      </c>
    </row>
    <row r="23" spans="1:17" x14ac:dyDescent="0.3">
      <c r="A23" s="8" t="s">
        <v>16</v>
      </c>
      <c r="B23" s="7">
        <v>1</v>
      </c>
      <c r="C23" s="3">
        <v>9</v>
      </c>
      <c r="D23" s="1">
        <v>1.0500000000000001E-2</v>
      </c>
      <c r="E23" s="9">
        <v>1.06E-2</v>
      </c>
      <c r="F23" s="1">
        <v>8.1799999999999998E-3</v>
      </c>
      <c r="G23" s="9">
        <v>8.2400000000000008E-3</v>
      </c>
      <c r="H23" s="1">
        <v>7.4799999999999997E-3</v>
      </c>
      <c r="I23" s="9">
        <v>7.4999999999999997E-3</v>
      </c>
      <c r="J23" s="7">
        <f t="shared" si="0"/>
        <v>0.94339622641508858</v>
      </c>
      <c r="K23" s="3">
        <f t="shared" si="1"/>
        <v>0.72815533980583758</v>
      </c>
      <c r="L23" s="1">
        <f t="shared" si="2"/>
        <v>0.26666666666666738</v>
      </c>
      <c r="M23" s="9">
        <f t="shared" si="3"/>
        <v>0.64607274429586459</v>
      </c>
      <c r="N23" s="1">
        <f t="shared" si="4"/>
        <v>-0.94339622641508858</v>
      </c>
      <c r="O23" s="9">
        <f t="shared" si="5"/>
        <v>-0.72815533980583758</v>
      </c>
      <c r="P23" s="1">
        <f t="shared" si="6"/>
        <v>-0.26666666666666738</v>
      </c>
      <c r="Q23" s="9">
        <f t="shared" si="7"/>
        <v>-0.64607274429586459</v>
      </c>
    </row>
    <row r="24" spans="1:17" x14ac:dyDescent="0.3">
      <c r="A24" s="8" t="s">
        <v>16</v>
      </c>
      <c r="B24" s="7">
        <v>2</v>
      </c>
      <c r="C24" s="3">
        <v>10</v>
      </c>
      <c r="D24" s="1">
        <v>9.5399999999999999E-3</v>
      </c>
      <c r="E24" s="9">
        <v>9.6200000000000001E-3</v>
      </c>
      <c r="F24" s="1">
        <v>7.3600000000000002E-3</v>
      </c>
      <c r="G24" s="9">
        <v>7.4200000000000004E-3</v>
      </c>
      <c r="H24" s="1">
        <v>6.7299999999999999E-3</v>
      </c>
      <c r="I24" s="9">
        <v>6.77E-3</v>
      </c>
      <c r="J24" s="7">
        <f t="shared" si="0"/>
        <v>0.83160083160083376</v>
      </c>
      <c r="K24" s="3">
        <f t="shared" si="1"/>
        <v>0.80862533692722582</v>
      </c>
      <c r="L24" s="1">
        <f t="shared" si="2"/>
        <v>0.59084194977843585</v>
      </c>
      <c r="M24" s="9">
        <f t="shared" si="3"/>
        <v>0.74368937276883196</v>
      </c>
      <c r="N24" s="1">
        <f t="shared" si="4"/>
        <v>-0.83160083160083376</v>
      </c>
      <c r="O24" s="9">
        <f t="shared" si="5"/>
        <v>-0.80862533692722582</v>
      </c>
      <c r="P24" s="1">
        <f t="shared" si="6"/>
        <v>-0.59084194977843585</v>
      </c>
      <c r="Q24" s="9">
        <f t="shared" si="7"/>
        <v>-0.74368937276883196</v>
      </c>
    </row>
    <row r="25" spans="1:17" x14ac:dyDescent="0.3">
      <c r="A25" s="8" t="s">
        <v>16</v>
      </c>
      <c r="B25" s="7">
        <v>3</v>
      </c>
      <c r="C25" s="3">
        <v>11</v>
      </c>
      <c r="D25" s="1">
        <v>8.6700000000000006E-3</v>
      </c>
      <c r="E25" s="9">
        <v>8.77E-3</v>
      </c>
      <c r="F25" s="1">
        <v>6.6899999999999998E-3</v>
      </c>
      <c r="G25" s="9">
        <v>6.77E-3</v>
      </c>
      <c r="H25" s="1">
        <v>6.1199999999999996E-3</v>
      </c>
      <c r="I25" s="9">
        <v>6.1599999999999997E-3</v>
      </c>
      <c r="J25" s="7">
        <f t="shared" si="0"/>
        <v>1.1402508551881345</v>
      </c>
      <c r="K25" s="3">
        <f t="shared" si="1"/>
        <v>1.1816838995568717</v>
      </c>
      <c r="L25" s="1">
        <f t="shared" si="2"/>
        <v>0.64935064935065112</v>
      </c>
      <c r="M25" s="9">
        <f t="shared" si="3"/>
        <v>0.99042846803188578</v>
      </c>
      <c r="N25" s="1">
        <f t="shared" si="4"/>
        <v>-1.1402508551881345</v>
      </c>
      <c r="O25" s="9">
        <f t="shared" si="5"/>
        <v>-1.1816838995568717</v>
      </c>
      <c r="P25" s="1">
        <f t="shared" si="6"/>
        <v>-0.64935064935065112</v>
      </c>
      <c r="Q25" s="9">
        <f t="shared" si="7"/>
        <v>-0.99042846803188578</v>
      </c>
    </row>
    <row r="26" spans="1:17" x14ac:dyDescent="0.3">
      <c r="A26" s="8" t="s">
        <v>16</v>
      </c>
      <c r="B26" s="7">
        <v>4</v>
      </c>
      <c r="C26" s="3">
        <v>12</v>
      </c>
      <c r="D26" s="1">
        <v>7.9500000000000005E-3</v>
      </c>
      <c r="E26" s="9">
        <v>8.0300000000000007E-3</v>
      </c>
      <c r="F26" s="1">
        <v>6.1399999999999996E-3</v>
      </c>
      <c r="G26" s="9">
        <v>6.1999999999999998E-3</v>
      </c>
      <c r="H26" s="1">
        <v>5.6100000000000004E-3</v>
      </c>
      <c r="I26" s="2"/>
      <c r="J26" s="7">
        <f t="shared" si="0"/>
        <v>0.99626400996264264</v>
      </c>
      <c r="K26" s="3">
        <f t="shared" si="1"/>
        <v>0.96774193548387355</v>
      </c>
      <c r="L26" s="1" t="str">
        <f t="shared" si="2"/>
        <v/>
      </c>
      <c r="M26" s="9">
        <f t="shared" si="3"/>
        <v>0.98200297272325809</v>
      </c>
      <c r="N26" s="1">
        <f t="shared" si="4"/>
        <v>-0.99626400996264264</v>
      </c>
      <c r="O26" s="9">
        <f t="shared" si="5"/>
        <v>-0.96774193548387355</v>
      </c>
      <c r="P26" s="1" t="str">
        <f t="shared" si="6"/>
        <v/>
      </c>
      <c r="Q26" s="9">
        <f t="shared" si="7"/>
        <v>-0.98200297272325809</v>
      </c>
    </row>
    <row r="27" spans="1:17" x14ac:dyDescent="0.3">
      <c r="A27" s="8" t="s">
        <v>16</v>
      </c>
      <c r="B27" s="7">
        <v>5</v>
      </c>
      <c r="C27" s="3">
        <v>13</v>
      </c>
      <c r="D27" s="1">
        <v>7.3400000000000002E-3</v>
      </c>
      <c r="E27" s="9">
        <v>7.4200000000000004E-3</v>
      </c>
      <c r="F27" s="1">
        <v>5.6600000000000001E-3</v>
      </c>
      <c r="G27" s="2"/>
      <c r="H27" s="1">
        <v>5.1799999999999997E-3</v>
      </c>
      <c r="I27" s="2"/>
      <c r="J27" s="7">
        <f t="shared" si="0"/>
        <v>1.0781671159029678</v>
      </c>
      <c r="K27" s="3" t="str">
        <f t="shared" si="1"/>
        <v/>
      </c>
      <c r="L27" s="1" t="str">
        <f t="shared" si="2"/>
        <v/>
      </c>
      <c r="M27" s="9">
        <f t="shared" si="3"/>
        <v>1.0781671159029678</v>
      </c>
      <c r="N27" s="1">
        <f t="shared" si="4"/>
        <v>-1.0781671159029678</v>
      </c>
      <c r="O27" s="9" t="str">
        <f t="shared" si="5"/>
        <v/>
      </c>
      <c r="P27" s="1" t="str">
        <f t="shared" si="6"/>
        <v/>
      </c>
      <c r="Q27" s="9">
        <f t="shared" si="7"/>
        <v>-1.0781671159029678</v>
      </c>
    </row>
    <row r="28" spans="1:17" x14ac:dyDescent="0.3">
      <c r="A28" s="8" t="s">
        <v>16</v>
      </c>
      <c r="B28" s="7">
        <v>6</v>
      </c>
      <c r="C28" s="3">
        <v>14</v>
      </c>
      <c r="D28" s="1">
        <v>6.8100000000000001E-3</v>
      </c>
      <c r="E28" s="9">
        <v>6.8900000000000003E-3</v>
      </c>
      <c r="F28" s="1">
        <v>5.2599999999999999E-3</v>
      </c>
      <c r="G28" s="2"/>
      <c r="H28" s="1">
        <v>4.81E-3</v>
      </c>
      <c r="I28" s="2"/>
      <c r="J28" s="7">
        <f t="shared" si="0"/>
        <v>1.1611030478955038</v>
      </c>
      <c r="K28" s="3" t="str">
        <f t="shared" si="1"/>
        <v/>
      </c>
      <c r="L28" s="1" t="str">
        <f t="shared" si="2"/>
        <v/>
      </c>
      <c r="M28" s="9">
        <f t="shared" si="3"/>
        <v>1.1611030478955038</v>
      </c>
      <c r="N28" s="1">
        <f t="shared" si="4"/>
        <v>-1.1611030478955038</v>
      </c>
      <c r="O28" s="9" t="str">
        <f t="shared" si="5"/>
        <v/>
      </c>
      <c r="P28" s="1" t="str">
        <f t="shared" si="6"/>
        <v/>
      </c>
      <c r="Q28" s="9">
        <f t="shared" si="7"/>
        <v>-1.1611030478955038</v>
      </c>
    </row>
    <row r="29" spans="1:17" x14ac:dyDescent="0.3">
      <c r="A29" s="8" t="s">
        <v>16</v>
      </c>
      <c r="B29" s="7">
        <v>7</v>
      </c>
      <c r="C29" s="3">
        <v>15</v>
      </c>
      <c r="D29" s="1">
        <v>6.3600000000000002E-3</v>
      </c>
      <c r="E29" s="9">
        <v>6.4400000000000004E-3</v>
      </c>
      <c r="F29" s="1">
        <v>4.9100000000000003E-3</v>
      </c>
      <c r="G29" s="2"/>
      <c r="H29" s="1">
        <v>4.4900000000000001E-3</v>
      </c>
      <c r="I29" s="2"/>
      <c r="J29" s="7">
        <f t="shared" si="0"/>
        <v>1.2422360248447237</v>
      </c>
      <c r="K29" s="3" t="str">
        <f t="shared" si="1"/>
        <v/>
      </c>
      <c r="L29" s="1" t="str">
        <f t="shared" si="2"/>
        <v/>
      </c>
      <c r="M29" s="9">
        <f t="shared" si="3"/>
        <v>1.2422360248447237</v>
      </c>
      <c r="N29" s="1">
        <f t="shared" si="4"/>
        <v>-1.2422360248447237</v>
      </c>
      <c r="O29" s="9" t="str">
        <f t="shared" si="5"/>
        <v/>
      </c>
      <c r="P29" s="1" t="str">
        <f t="shared" si="6"/>
        <v/>
      </c>
      <c r="Q29" s="9">
        <f t="shared" si="7"/>
        <v>-1.2422360248447237</v>
      </c>
    </row>
    <row r="30" spans="1:17" x14ac:dyDescent="0.3">
      <c r="A30" s="8" t="s">
        <v>17</v>
      </c>
      <c r="B30" s="7">
        <v>1</v>
      </c>
      <c r="C30" s="3">
        <v>8</v>
      </c>
      <c r="D30" s="1">
        <v>1.1900000000000001E-2</v>
      </c>
      <c r="E30" s="9">
        <v>1.2E-2</v>
      </c>
      <c r="F30" s="1">
        <v>9.2099999999999994E-3</v>
      </c>
      <c r="G30" s="9">
        <v>9.2999999999999992E-3</v>
      </c>
      <c r="H30" s="1">
        <v>8.4100000000000008E-3</v>
      </c>
      <c r="I30" s="9">
        <v>8.4399999999999996E-3</v>
      </c>
      <c r="J30" s="7">
        <f t="shared" si="0"/>
        <v>0.83333333333332826</v>
      </c>
      <c r="K30" s="3">
        <f t="shared" si="1"/>
        <v>0.96774193548386889</v>
      </c>
      <c r="L30" s="1">
        <f t="shared" si="2"/>
        <v>0.35545023696681016</v>
      </c>
      <c r="M30" s="9">
        <f t="shared" si="3"/>
        <v>0.71884183526133583</v>
      </c>
      <c r="N30" s="1">
        <f t="shared" si="4"/>
        <v>-0.83333333333332826</v>
      </c>
      <c r="O30" s="9">
        <f t="shared" si="5"/>
        <v>-0.96774193548386889</v>
      </c>
      <c r="P30" s="1">
        <f t="shared" si="6"/>
        <v>-0.35545023696681016</v>
      </c>
      <c r="Q30" s="9">
        <f t="shared" si="7"/>
        <v>-0.71884183526133583</v>
      </c>
    </row>
    <row r="31" spans="1:17" x14ac:dyDescent="0.3">
      <c r="A31" s="8" t="s">
        <v>17</v>
      </c>
      <c r="B31" s="7">
        <v>2</v>
      </c>
      <c r="C31" s="3">
        <v>9</v>
      </c>
      <c r="D31" s="1">
        <v>1.06E-2</v>
      </c>
      <c r="E31" s="9">
        <v>1.06E-2</v>
      </c>
      <c r="F31" s="1">
        <v>8.1799999999999998E-3</v>
      </c>
      <c r="G31" s="9">
        <v>8.2400000000000008E-3</v>
      </c>
      <c r="H31" s="1">
        <v>7.4799999999999997E-3</v>
      </c>
      <c r="I31" s="9">
        <v>7.4599999999999996E-3</v>
      </c>
      <c r="J31" s="7">
        <f t="shared" si="0"/>
        <v>0</v>
      </c>
      <c r="K31" s="3">
        <f t="shared" si="1"/>
        <v>0.72815533980583758</v>
      </c>
      <c r="L31" s="1">
        <f t="shared" si="2"/>
        <v>0.26809651474530904</v>
      </c>
      <c r="M31" s="9">
        <f t="shared" si="3"/>
        <v>0.33208395151704889</v>
      </c>
      <c r="N31" s="1">
        <f t="shared" si="4"/>
        <v>0</v>
      </c>
      <c r="O31" s="9">
        <f t="shared" si="5"/>
        <v>-0.72815533980583758</v>
      </c>
      <c r="P31" s="1">
        <f t="shared" si="6"/>
        <v>0.26809651474530904</v>
      </c>
      <c r="Q31" s="9">
        <f t="shared" si="7"/>
        <v>-0.15335294168684285</v>
      </c>
    </row>
    <row r="32" spans="1:17" x14ac:dyDescent="0.3">
      <c r="A32" s="8" t="s">
        <v>17</v>
      </c>
      <c r="B32" s="7">
        <v>3</v>
      </c>
      <c r="C32" s="3">
        <v>10</v>
      </c>
      <c r="D32" s="1">
        <v>9.5399999999999999E-3</v>
      </c>
      <c r="E32" s="9">
        <v>9.6200000000000001E-3</v>
      </c>
      <c r="F32" s="1">
        <v>7.3600000000000002E-3</v>
      </c>
      <c r="G32" s="2"/>
      <c r="H32" s="1">
        <v>6.7299999999999999E-3</v>
      </c>
      <c r="I32" s="2"/>
      <c r="J32" s="7">
        <f t="shared" si="0"/>
        <v>0.83160083160083376</v>
      </c>
      <c r="K32" s="3" t="str">
        <f t="shared" si="1"/>
        <v/>
      </c>
      <c r="L32" s="1" t="str">
        <f t="shared" si="2"/>
        <v/>
      </c>
      <c r="M32" s="9">
        <f t="shared" si="3"/>
        <v>0.83160083160083376</v>
      </c>
      <c r="N32" s="1">
        <f t="shared" si="4"/>
        <v>-0.83160083160083376</v>
      </c>
      <c r="O32" s="9" t="str">
        <f t="shared" si="5"/>
        <v/>
      </c>
      <c r="P32" s="1" t="str">
        <f t="shared" si="6"/>
        <v/>
      </c>
      <c r="Q32" s="9">
        <f t="shared" si="7"/>
        <v>-0.83160083160083376</v>
      </c>
    </row>
    <row r="33" spans="1:17" x14ac:dyDescent="0.3">
      <c r="A33" s="8" t="s">
        <v>17</v>
      </c>
      <c r="B33" s="7">
        <v>4</v>
      </c>
      <c r="C33" s="3">
        <v>11</v>
      </c>
      <c r="D33" s="1">
        <v>8.6700000000000006E-3</v>
      </c>
      <c r="E33" s="9">
        <v>8.77E-3</v>
      </c>
      <c r="F33" s="1">
        <v>6.6899999999999998E-3</v>
      </c>
      <c r="G33" s="2"/>
      <c r="H33" s="1">
        <v>6.1199999999999996E-3</v>
      </c>
      <c r="I33" s="2"/>
      <c r="J33" s="7">
        <f t="shared" si="0"/>
        <v>1.1402508551881345</v>
      </c>
      <c r="K33" s="3" t="str">
        <f t="shared" si="1"/>
        <v/>
      </c>
      <c r="L33" s="1" t="str">
        <f t="shared" si="2"/>
        <v/>
      </c>
      <c r="M33" s="9">
        <f t="shared" si="3"/>
        <v>1.1402508551881345</v>
      </c>
      <c r="N33" s="1">
        <f t="shared" si="4"/>
        <v>-1.1402508551881345</v>
      </c>
      <c r="O33" s="9" t="str">
        <f t="shared" si="5"/>
        <v/>
      </c>
      <c r="P33" s="1" t="str">
        <f t="shared" si="6"/>
        <v/>
      </c>
      <c r="Q33" s="9">
        <f t="shared" si="7"/>
        <v>-1.1402508551881345</v>
      </c>
    </row>
    <row r="34" spans="1:17" x14ac:dyDescent="0.3">
      <c r="A34" s="8" t="s">
        <v>17</v>
      </c>
      <c r="B34" s="7">
        <v>5</v>
      </c>
      <c r="C34" s="3">
        <v>12</v>
      </c>
      <c r="D34" s="1">
        <v>7.9500000000000005E-3</v>
      </c>
      <c r="E34" s="9">
        <v>8.0300000000000007E-3</v>
      </c>
      <c r="F34" s="1">
        <v>6.1399999999999996E-3</v>
      </c>
      <c r="G34" s="2"/>
      <c r="H34" s="1">
        <v>5.6100000000000004E-3</v>
      </c>
      <c r="I34" s="2"/>
      <c r="J34" s="7">
        <f t="shared" si="0"/>
        <v>0.99626400996264264</v>
      </c>
      <c r="K34" s="3" t="str">
        <f t="shared" si="1"/>
        <v/>
      </c>
      <c r="L34" s="1" t="str">
        <f t="shared" si="2"/>
        <v/>
      </c>
      <c r="M34" s="9">
        <f t="shared" si="3"/>
        <v>0.99626400996264264</v>
      </c>
      <c r="N34" s="1">
        <f t="shared" si="4"/>
        <v>-0.99626400996264264</v>
      </c>
      <c r="O34" s="9" t="str">
        <f t="shared" si="5"/>
        <v/>
      </c>
      <c r="P34" s="1" t="str">
        <f t="shared" si="6"/>
        <v/>
      </c>
      <c r="Q34" s="9">
        <f t="shared" si="7"/>
        <v>-0.99626400996264264</v>
      </c>
    </row>
    <row r="35" spans="1:17" x14ac:dyDescent="0.3">
      <c r="A35" s="8" t="s">
        <v>18</v>
      </c>
      <c r="B35" s="7">
        <v>1</v>
      </c>
      <c r="C35" s="3">
        <v>5</v>
      </c>
      <c r="D35" s="1">
        <v>1.9099999999999999E-2</v>
      </c>
      <c r="E35" s="9">
        <v>1.9199999999999998E-2</v>
      </c>
      <c r="F35" s="1">
        <v>1.47E-2</v>
      </c>
      <c r="G35" s="9">
        <v>1.47E-2</v>
      </c>
      <c r="H35" s="1">
        <v>1.35E-2</v>
      </c>
      <c r="I35" s="9">
        <v>1.34E-2</v>
      </c>
      <c r="J35" s="7">
        <f t="shared" si="0"/>
        <v>0.52083333333333026</v>
      </c>
      <c r="K35" s="3">
        <f t="shared" si="1"/>
        <v>0</v>
      </c>
      <c r="L35" s="1">
        <f t="shared" si="2"/>
        <v>0.7462686567164134</v>
      </c>
      <c r="M35" s="9">
        <f t="shared" si="3"/>
        <v>0.42236733001658128</v>
      </c>
      <c r="N35" s="1">
        <f t="shared" si="4"/>
        <v>-0.52083333333333026</v>
      </c>
      <c r="O35" s="9">
        <f t="shared" si="5"/>
        <v>0</v>
      </c>
      <c r="P35" s="1">
        <f t="shared" si="6"/>
        <v>0.7462686567164134</v>
      </c>
      <c r="Q35" s="9">
        <f t="shared" si="7"/>
        <v>7.5145107794361052E-2</v>
      </c>
    </row>
    <row r="36" spans="1:17" x14ac:dyDescent="0.3">
      <c r="A36" s="8" t="s">
        <v>18</v>
      </c>
      <c r="B36" s="7">
        <v>2</v>
      </c>
      <c r="C36" s="3">
        <v>6</v>
      </c>
      <c r="D36" s="1">
        <v>1.5900000000000001E-2</v>
      </c>
      <c r="E36" s="9">
        <v>1.6E-2</v>
      </c>
      <c r="F36" s="1">
        <v>1.23E-2</v>
      </c>
      <c r="G36" s="9">
        <v>1.24E-2</v>
      </c>
      <c r="H36" s="1">
        <v>1.12E-2</v>
      </c>
      <c r="I36" s="9">
        <v>1.1299999999999999E-2</v>
      </c>
      <c r="J36" s="7">
        <f t="shared" si="0"/>
        <v>0.62499999999999623</v>
      </c>
      <c r="K36" s="3">
        <f t="shared" si="1"/>
        <v>0.80645161290322098</v>
      </c>
      <c r="L36" s="1">
        <f t="shared" si="2"/>
        <v>0.88495575221238409</v>
      </c>
      <c r="M36" s="9">
        <f t="shared" si="3"/>
        <v>0.77213578837186703</v>
      </c>
      <c r="N36" s="1">
        <f t="shared" si="4"/>
        <v>-0.62499999999999623</v>
      </c>
      <c r="O36" s="9">
        <f t="shared" si="5"/>
        <v>-0.80645161290322098</v>
      </c>
      <c r="P36" s="1">
        <f t="shared" si="6"/>
        <v>-0.88495575221238409</v>
      </c>
      <c r="Q36" s="9">
        <f t="shared" si="7"/>
        <v>-0.77213578837186703</v>
      </c>
    </row>
    <row r="37" spans="1:17" x14ac:dyDescent="0.3">
      <c r="A37" s="8" t="s">
        <v>18</v>
      </c>
      <c r="B37" s="7">
        <v>3</v>
      </c>
      <c r="C37" s="3">
        <v>7</v>
      </c>
      <c r="D37" s="1">
        <v>1.3599999999999999E-2</v>
      </c>
      <c r="E37" s="9">
        <v>1.37E-2</v>
      </c>
      <c r="F37" s="1">
        <v>1.0500000000000001E-2</v>
      </c>
      <c r="G37" s="9">
        <v>1.0800000000000001E-2</v>
      </c>
      <c r="H37" s="1">
        <v>9.6100000000000005E-3</v>
      </c>
      <c r="I37" s="2"/>
      <c r="J37" s="7">
        <f t="shared" si="0"/>
        <v>0.72992700729927829</v>
      </c>
      <c r="K37" s="3">
        <f t="shared" si="1"/>
        <v>2.7777777777777768</v>
      </c>
      <c r="L37" s="1" t="str">
        <f t="shared" si="2"/>
        <v/>
      </c>
      <c r="M37" s="9">
        <f t="shared" si="3"/>
        <v>1.7538523925385276</v>
      </c>
      <c r="N37" s="1">
        <f t="shared" si="4"/>
        <v>-0.72992700729927829</v>
      </c>
      <c r="O37" s="9">
        <f t="shared" si="5"/>
        <v>-2.7777777777777768</v>
      </c>
      <c r="P37" s="1" t="str">
        <f t="shared" si="6"/>
        <v/>
      </c>
      <c r="Q37" s="9">
        <f t="shared" si="7"/>
        <v>-1.7538523925385276</v>
      </c>
    </row>
    <row r="38" spans="1:17" x14ac:dyDescent="0.3">
      <c r="A38" s="8" t="s">
        <v>18</v>
      </c>
      <c r="B38" s="7">
        <v>4</v>
      </c>
      <c r="C38" s="3">
        <v>8</v>
      </c>
      <c r="D38" s="1">
        <v>1.1900000000000001E-2</v>
      </c>
      <c r="E38" s="9">
        <v>1.21E-2</v>
      </c>
      <c r="F38" s="1">
        <v>9.2099999999999994E-3</v>
      </c>
      <c r="G38" s="2"/>
      <c r="H38" s="1">
        <v>8.4100000000000008E-3</v>
      </c>
      <c r="I38" s="2"/>
      <c r="J38" s="7">
        <f t="shared" si="0"/>
        <v>1.6528925619834611</v>
      </c>
      <c r="K38" s="3" t="str">
        <f t="shared" si="1"/>
        <v/>
      </c>
      <c r="L38" s="1" t="str">
        <f t="shared" si="2"/>
        <v/>
      </c>
      <c r="M38" s="9">
        <f t="shared" si="3"/>
        <v>1.6528925619834611</v>
      </c>
      <c r="N38" s="1">
        <f t="shared" si="4"/>
        <v>-1.6528925619834611</v>
      </c>
      <c r="O38" s="9" t="str">
        <f t="shared" si="5"/>
        <v/>
      </c>
      <c r="P38" s="1" t="str">
        <f t="shared" si="6"/>
        <v/>
      </c>
      <c r="Q38" s="9">
        <f t="shared" si="7"/>
        <v>-1.6528925619834611</v>
      </c>
    </row>
    <row r="39" spans="1:17" x14ac:dyDescent="0.3">
      <c r="A39" s="8" t="s">
        <v>18</v>
      </c>
      <c r="B39" s="7">
        <v>5</v>
      </c>
      <c r="C39" s="3">
        <v>9</v>
      </c>
      <c r="D39" s="1">
        <v>1.06E-2</v>
      </c>
      <c r="E39" s="9">
        <v>1.0699999999999999E-2</v>
      </c>
      <c r="F39" s="1">
        <v>8.1799999999999998E-3</v>
      </c>
      <c r="G39" s="2"/>
      <c r="H39" s="1">
        <v>7.4799999999999997E-3</v>
      </c>
      <c r="I39" s="2"/>
      <c r="J39" s="7">
        <f t="shared" si="0"/>
        <v>0.93457943925233089</v>
      </c>
      <c r="K39" s="3" t="str">
        <f t="shared" si="1"/>
        <v/>
      </c>
      <c r="L39" s="1" t="str">
        <f t="shared" si="2"/>
        <v/>
      </c>
      <c r="M39" s="9">
        <f t="shared" si="3"/>
        <v>0.93457943925233089</v>
      </c>
      <c r="N39" s="1">
        <f t="shared" si="4"/>
        <v>-0.93457943925233089</v>
      </c>
      <c r="O39" s="9" t="str">
        <f t="shared" si="5"/>
        <v/>
      </c>
      <c r="P39" s="1" t="str">
        <f t="shared" si="6"/>
        <v/>
      </c>
      <c r="Q39" s="9">
        <f t="shared" si="7"/>
        <v>-0.93457943925233089</v>
      </c>
    </row>
    <row r="40" spans="1:17" x14ac:dyDescent="0.3">
      <c r="A40" s="8" t="s">
        <v>18</v>
      </c>
      <c r="B40" s="7">
        <v>6</v>
      </c>
      <c r="C40" s="3">
        <v>10</v>
      </c>
      <c r="D40" s="1">
        <v>9.5399999999999999E-3</v>
      </c>
      <c r="E40" s="2"/>
      <c r="F40" s="1">
        <v>7.3600000000000002E-3</v>
      </c>
      <c r="G40" s="2"/>
      <c r="H40" s="1">
        <v>6.7299999999999999E-3</v>
      </c>
      <c r="I40" s="2"/>
      <c r="J40" s="7" t="str">
        <f t="shared" si="0"/>
        <v/>
      </c>
      <c r="K40" s="3" t="str">
        <f t="shared" si="1"/>
        <v/>
      </c>
      <c r="L40" s="1" t="str">
        <f t="shared" si="2"/>
        <v/>
      </c>
      <c r="M40" s="9" t="str">
        <f t="shared" si="3"/>
        <v/>
      </c>
      <c r="N40" s="1" t="str">
        <f t="shared" si="4"/>
        <v/>
      </c>
      <c r="O40" s="9" t="str">
        <f t="shared" si="5"/>
        <v/>
      </c>
      <c r="P40" s="1" t="str">
        <f t="shared" si="6"/>
        <v/>
      </c>
      <c r="Q40" s="9" t="str">
        <f t="shared" si="7"/>
        <v/>
      </c>
    </row>
    <row r="41" spans="1:17" x14ac:dyDescent="0.3">
      <c r="A41" s="8" t="s">
        <v>19</v>
      </c>
      <c r="B41" s="7">
        <v>1</v>
      </c>
      <c r="C41" s="3">
        <v>4</v>
      </c>
      <c r="D41" s="1">
        <v>2.3800000000000002E-2</v>
      </c>
      <c r="E41" s="9">
        <v>2.4E-2</v>
      </c>
      <c r="F41" s="1">
        <v>1.84E-2</v>
      </c>
      <c r="G41" s="9">
        <v>1.8499999999999999E-2</v>
      </c>
      <c r="H41" s="1">
        <v>1.6799999999999999E-2</v>
      </c>
      <c r="I41" s="9">
        <v>1.6799999999999999E-2</v>
      </c>
      <c r="J41" s="7">
        <f t="shared" si="0"/>
        <v>0.83333333333332826</v>
      </c>
      <c r="K41" s="3">
        <f t="shared" si="1"/>
        <v>0.54054054054053735</v>
      </c>
      <c r="L41" s="1">
        <f t="shared" si="2"/>
        <v>0</v>
      </c>
      <c r="M41" s="9">
        <f t="shared" si="3"/>
        <v>0.45795795795795519</v>
      </c>
      <c r="N41" s="1">
        <f t="shared" si="4"/>
        <v>-0.83333333333332826</v>
      </c>
      <c r="O41" s="9">
        <f t="shared" si="5"/>
        <v>-0.54054054054053735</v>
      </c>
      <c r="P41" s="1">
        <f t="shared" si="6"/>
        <v>0</v>
      </c>
      <c r="Q41" s="9">
        <f t="shared" si="7"/>
        <v>-0.45795795795795519</v>
      </c>
    </row>
    <row r="42" spans="1:17" x14ac:dyDescent="0.3">
      <c r="A42" s="8" t="s">
        <v>19</v>
      </c>
      <c r="B42" s="7">
        <v>2</v>
      </c>
      <c r="C42" s="3">
        <v>5</v>
      </c>
      <c r="D42" s="1">
        <v>1.9099999999999999E-2</v>
      </c>
      <c r="E42" s="9">
        <v>1.9300000000000001E-2</v>
      </c>
      <c r="F42" s="1">
        <v>1.47E-2</v>
      </c>
      <c r="G42" s="9">
        <v>1.4500000000000001E-2</v>
      </c>
      <c r="H42" s="1">
        <v>1.35E-2</v>
      </c>
      <c r="I42" s="9">
        <v>1.35E-2</v>
      </c>
      <c r="J42" s="7">
        <f t="shared" si="0"/>
        <v>1.0362694300518251</v>
      </c>
      <c r="K42" s="3">
        <f t="shared" si="1"/>
        <v>1.3793103448275779</v>
      </c>
      <c r="L42" s="1">
        <f t="shared" si="2"/>
        <v>0</v>
      </c>
      <c r="M42" s="9">
        <f t="shared" si="3"/>
        <v>0.80519325829313437</v>
      </c>
      <c r="N42" s="1">
        <f t="shared" si="4"/>
        <v>-1.0362694300518251</v>
      </c>
      <c r="O42" s="9">
        <f t="shared" si="5"/>
        <v>1.3793103448275779</v>
      </c>
      <c r="P42" s="1">
        <f t="shared" si="6"/>
        <v>0</v>
      </c>
      <c r="Q42" s="9">
        <f t="shared" si="7"/>
        <v>0.11434697159191758</v>
      </c>
    </row>
    <row r="43" spans="1:17" x14ac:dyDescent="0.3">
      <c r="A43" s="8" t="s">
        <v>19</v>
      </c>
      <c r="B43" s="7">
        <v>3</v>
      </c>
      <c r="C43" s="3">
        <v>6</v>
      </c>
      <c r="D43" s="1">
        <v>1.5900000000000001E-2</v>
      </c>
      <c r="E43" s="9">
        <v>1.61E-2</v>
      </c>
      <c r="F43" s="1">
        <v>1.23E-2</v>
      </c>
      <c r="G43" s="2"/>
      <c r="H43" s="1">
        <v>1.12E-2</v>
      </c>
      <c r="I43" s="2"/>
      <c r="J43" s="7">
        <f t="shared" si="0"/>
        <v>1.2422360248447131</v>
      </c>
      <c r="K43" s="3" t="str">
        <f t="shared" si="1"/>
        <v/>
      </c>
      <c r="L43" s="1" t="str">
        <f t="shared" si="2"/>
        <v/>
      </c>
      <c r="M43" s="9">
        <f t="shared" si="3"/>
        <v>1.2422360248447131</v>
      </c>
      <c r="N43" s="1">
        <f t="shared" si="4"/>
        <v>-1.2422360248447131</v>
      </c>
      <c r="O43" s="9" t="str">
        <f t="shared" si="5"/>
        <v/>
      </c>
      <c r="P43" s="1" t="str">
        <f t="shared" si="6"/>
        <v/>
      </c>
      <c r="Q43" s="9">
        <f t="shared" si="7"/>
        <v>-1.2422360248447131</v>
      </c>
    </row>
    <row r="44" spans="1:17" x14ac:dyDescent="0.3">
      <c r="A44" s="8" t="s">
        <v>20</v>
      </c>
      <c r="B44" s="7">
        <v>1</v>
      </c>
      <c r="C44" s="3">
        <v>6</v>
      </c>
      <c r="D44" s="1">
        <v>1.5900000000000001E-2</v>
      </c>
      <c r="E44" s="9">
        <v>1.6E-2</v>
      </c>
      <c r="F44" s="1">
        <v>1.23E-2</v>
      </c>
      <c r="G44" s="9">
        <v>1.23E-2</v>
      </c>
      <c r="H44" s="1">
        <v>1.12E-2</v>
      </c>
      <c r="I44" s="9">
        <v>1.12E-2</v>
      </c>
      <c r="J44" s="7">
        <f t="shared" si="0"/>
        <v>0.62499999999999623</v>
      </c>
      <c r="K44" s="3">
        <f t="shared" si="1"/>
        <v>0</v>
      </c>
      <c r="L44" s="1">
        <f t="shared" si="2"/>
        <v>0</v>
      </c>
      <c r="M44" s="9">
        <f t="shared" si="3"/>
        <v>0.20833333333333207</v>
      </c>
      <c r="N44" s="1">
        <f t="shared" si="4"/>
        <v>-0.62499999999999623</v>
      </c>
      <c r="O44" s="9">
        <f t="shared" si="5"/>
        <v>0</v>
      </c>
      <c r="P44" s="1">
        <f t="shared" si="6"/>
        <v>0</v>
      </c>
      <c r="Q44" s="9">
        <f t="shared" si="7"/>
        <v>-0.20833333333333207</v>
      </c>
    </row>
    <row r="45" spans="1:17" x14ac:dyDescent="0.3">
      <c r="A45" s="8" t="s">
        <v>20</v>
      </c>
      <c r="B45" s="7">
        <v>2</v>
      </c>
      <c r="C45" s="3">
        <v>7</v>
      </c>
      <c r="D45" s="1">
        <v>1.3599999999999999E-2</v>
      </c>
      <c r="E45" s="9">
        <v>1.37E-2</v>
      </c>
      <c r="F45" s="1">
        <v>1.0500000000000001E-2</v>
      </c>
      <c r="G45" s="9">
        <v>1.0800000000000001E-2</v>
      </c>
      <c r="H45" s="1">
        <v>9.6100000000000005E-3</v>
      </c>
      <c r="I45" s="2"/>
      <c r="J45" s="7">
        <f t="shared" si="0"/>
        <v>0.72992700729927829</v>
      </c>
      <c r="K45" s="3">
        <f t="shared" si="1"/>
        <v>2.7777777777777768</v>
      </c>
      <c r="L45" s="1" t="str">
        <f t="shared" si="2"/>
        <v/>
      </c>
      <c r="M45" s="9">
        <f t="shared" si="3"/>
        <v>1.7538523925385276</v>
      </c>
      <c r="N45" s="1">
        <f t="shared" si="4"/>
        <v>-0.72992700729927829</v>
      </c>
      <c r="O45" s="9">
        <f t="shared" si="5"/>
        <v>-2.7777777777777768</v>
      </c>
      <c r="P45" s="1" t="str">
        <f t="shared" si="6"/>
        <v/>
      </c>
      <c r="Q45" s="9">
        <f t="shared" si="7"/>
        <v>-1.7538523925385276</v>
      </c>
    </row>
    <row r="46" spans="1:17" x14ac:dyDescent="0.3">
      <c r="A46" s="8" t="s">
        <v>20</v>
      </c>
      <c r="B46" s="7">
        <v>3</v>
      </c>
      <c r="C46" s="3">
        <v>8</v>
      </c>
      <c r="D46" s="1">
        <v>1.1900000000000001E-2</v>
      </c>
      <c r="E46" s="9">
        <v>1.2E-2</v>
      </c>
      <c r="F46" s="1">
        <v>9.2099999999999994E-3</v>
      </c>
      <c r="G46" s="2"/>
      <c r="H46" s="1">
        <v>8.4100000000000008E-3</v>
      </c>
      <c r="I46" s="2"/>
      <c r="J46" s="7">
        <f t="shared" si="0"/>
        <v>0.83333333333332826</v>
      </c>
      <c r="K46" s="3" t="str">
        <f t="shared" si="1"/>
        <v/>
      </c>
      <c r="L46" s="1" t="str">
        <f t="shared" si="2"/>
        <v/>
      </c>
      <c r="M46" s="9">
        <f t="shared" si="3"/>
        <v>0.83333333333332826</v>
      </c>
      <c r="N46" s="1">
        <f t="shared" si="4"/>
        <v>-0.83333333333332826</v>
      </c>
      <c r="O46" s="9" t="str">
        <f t="shared" si="5"/>
        <v/>
      </c>
      <c r="P46" s="1" t="str">
        <f t="shared" si="6"/>
        <v/>
      </c>
      <c r="Q46" s="9">
        <f t="shared" si="7"/>
        <v>-0.83333333333332826</v>
      </c>
    </row>
    <row r="47" spans="1:17" x14ac:dyDescent="0.3">
      <c r="A47" s="8" t="s">
        <v>20</v>
      </c>
      <c r="B47" s="7">
        <v>4</v>
      </c>
      <c r="C47" s="3">
        <v>9</v>
      </c>
      <c r="D47" s="1">
        <v>1.06E-2</v>
      </c>
      <c r="E47" s="9">
        <v>1.0699999999999999E-2</v>
      </c>
      <c r="F47" s="1">
        <v>8.1799999999999998E-3</v>
      </c>
      <c r="G47" s="2"/>
      <c r="H47" s="1">
        <v>7.4799999999999997E-3</v>
      </c>
      <c r="I47" s="2"/>
      <c r="J47" s="7">
        <f t="shared" si="0"/>
        <v>0.93457943925233089</v>
      </c>
      <c r="K47" s="3" t="str">
        <f t="shared" si="1"/>
        <v/>
      </c>
      <c r="L47" s="1" t="str">
        <f t="shared" si="2"/>
        <v/>
      </c>
      <c r="M47" s="9">
        <f t="shared" si="3"/>
        <v>0.93457943925233089</v>
      </c>
      <c r="N47" s="1">
        <f t="shared" si="4"/>
        <v>-0.93457943925233089</v>
      </c>
      <c r="O47" s="9" t="str">
        <f t="shared" si="5"/>
        <v/>
      </c>
      <c r="P47" s="1" t="str">
        <f t="shared" si="6"/>
        <v/>
      </c>
      <c r="Q47" s="9">
        <f t="shared" si="7"/>
        <v>-0.93457943925233089</v>
      </c>
    </row>
    <row r="48" spans="1:17" x14ac:dyDescent="0.3">
      <c r="A48" s="8" t="s">
        <v>20</v>
      </c>
      <c r="B48" s="7">
        <v>5</v>
      </c>
      <c r="C48" s="3">
        <v>10</v>
      </c>
      <c r="D48" s="1">
        <v>9.5399999999999999E-3</v>
      </c>
      <c r="E48" s="2"/>
      <c r="F48" s="1">
        <v>7.3600000000000002E-3</v>
      </c>
      <c r="G48" s="2"/>
      <c r="H48" s="1">
        <v>6.7299999999999999E-3</v>
      </c>
      <c r="I48" s="2"/>
      <c r="J48" s="7" t="str">
        <f t="shared" si="0"/>
        <v/>
      </c>
      <c r="K48" s="3" t="str">
        <f t="shared" si="1"/>
        <v/>
      </c>
      <c r="L48" s="1" t="str">
        <f t="shared" si="2"/>
        <v/>
      </c>
      <c r="M48" s="9" t="str">
        <f t="shared" si="3"/>
        <v/>
      </c>
      <c r="N48" s="1" t="str">
        <f t="shared" si="4"/>
        <v/>
      </c>
      <c r="O48" s="9" t="str">
        <f t="shared" si="5"/>
        <v/>
      </c>
      <c r="P48" s="1" t="str">
        <f t="shared" si="6"/>
        <v/>
      </c>
      <c r="Q48" s="9" t="str">
        <f t="shared" si="7"/>
        <v/>
      </c>
    </row>
    <row r="49" spans="1:17" x14ac:dyDescent="0.3">
      <c r="A49" s="8" t="s">
        <v>21</v>
      </c>
      <c r="B49" s="7">
        <v>1</v>
      </c>
      <c r="C49" s="3">
        <v>8</v>
      </c>
      <c r="D49" s="1">
        <v>1.1900000000000001E-2</v>
      </c>
      <c r="E49" s="9">
        <v>1.2E-2</v>
      </c>
      <c r="F49" s="1">
        <v>9.2099999999999994E-3</v>
      </c>
      <c r="G49" s="9">
        <v>9.2599999999999991E-3</v>
      </c>
      <c r="H49" s="1">
        <v>8.4100000000000008E-3</v>
      </c>
      <c r="I49" s="9">
        <v>8.4399999999999996E-3</v>
      </c>
      <c r="J49" s="7">
        <f t="shared" si="0"/>
        <v>0.83333333333332826</v>
      </c>
      <c r="K49" s="3">
        <f t="shared" si="1"/>
        <v>0.53995680345572028</v>
      </c>
      <c r="L49" s="1">
        <f t="shared" si="2"/>
        <v>0.35545023696681016</v>
      </c>
      <c r="M49" s="9">
        <f t="shared" si="3"/>
        <v>0.57624679125195288</v>
      </c>
      <c r="N49" s="1">
        <f t="shared" si="4"/>
        <v>-0.83333333333332826</v>
      </c>
      <c r="O49" s="9">
        <f t="shared" si="5"/>
        <v>-0.53995680345572028</v>
      </c>
      <c r="P49" s="1">
        <f t="shared" si="6"/>
        <v>-0.35545023696681016</v>
      </c>
      <c r="Q49" s="9">
        <f t="shared" si="7"/>
        <v>-0.57624679125195288</v>
      </c>
    </row>
    <row r="50" spans="1:17" x14ac:dyDescent="0.3">
      <c r="A50" s="8" t="s">
        <v>21</v>
      </c>
      <c r="B50" s="7">
        <v>2</v>
      </c>
      <c r="C50" s="3">
        <v>9</v>
      </c>
      <c r="D50" s="1">
        <v>1.06E-2</v>
      </c>
      <c r="E50" s="9">
        <v>1.06E-2</v>
      </c>
      <c r="F50" s="1">
        <v>8.1799999999999998E-3</v>
      </c>
      <c r="G50" s="9">
        <v>8.2799999999999992E-3</v>
      </c>
      <c r="H50" s="1">
        <v>7.4799999999999997E-3</v>
      </c>
      <c r="I50" s="2"/>
      <c r="J50" s="7">
        <f t="shared" si="0"/>
        <v>0</v>
      </c>
      <c r="K50" s="3">
        <f t="shared" si="1"/>
        <v>1.2077294685990265</v>
      </c>
      <c r="L50" s="1" t="str">
        <f t="shared" si="2"/>
        <v/>
      </c>
      <c r="M50" s="9">
        <f t="shared" si="3"/>
        <v>0.60386473429951326</v>
      </c>
      <c r="N50" s="1">
        <f t="shared" si="4"/>
        <v>0</v>
      </c>
      <c r="O50" s="9">
        <f t="shared" si="5"/>
        <v>-1.2077294685990265</v>
      </c>
      <c r="P50" s="1" t="str">
        <f t="shared" si="6"/>
        <v/>
      </c>
      <c r="Q50" s="9">
        <f t="shared" si="7"/>
        <v>-0.60386473429951326</v>
      </c>
    </row>
    <row r="51" spans="1:17" x14ac:dyDescent="0.3">
      <c r="A51" s="8" t="s">
        <v>21</v>
      </c>
      <c r="B51" s="7">
        <v>3</v>
      </c>
      <c r="C51" s="3">
        <v>10</v>
      </c>
      <c r="D51" s="1">
        <v>9.5399999999999999E-3</v>
      </c>
      <c r="E51" s="9">
        <v>9.6200000000000001E-3</v>
      </c>
      <c r="F51" s="1">
        <v>7.3600000000000002E-3</v>
      </c>
      <c r="G51" s="2"/>
      <c r="H51" s="1">
        <v>6.7299999999999999E-3</v>
      </c>
      <c r="I51" s="2"/>
      <c r="J51" s="7">
        <f t="shared" si="0"/>
        <v>0.83160083160083376</v>
      </c>
      <c r="K51" s="3" t="str">
        <f t="shared" si="1"/>
        <v/>
      </c>
      <c r="L51" s="1" t="str">
        <f t="shared" si="2"/>
        <v/>
      </c>
      <c r="M51" s="9">
        <f t="shared" si="3"/>
        <v>0.83160083160083376</v>
      </c>
      <c r="N51" s="1">
        <f t="shared" si="4"/>
        <v>-0.83160083160083376</v>
      </c>
      <c r="O51" s="9" t="str">
        <f t="shared" si="5"/>
        <v/>
      </c>
      <c r="P51" s="1" t="str">
        <f t="shared" si="6"/>
        <v/>
      </c>
      <c r="Q51" s="9">
        <f t="shared" si="7"/>
        <v>-0.83160083160083376</v>
      </c>
    </row>
    <row r="52" spans="1:17" x14ac:dyDescent="0.3">
      <c r="A52" s="8" t="s">
        <v>21</v>
      </c>
      <c r="B52" s="7">
        <v>4</v>
      </c>
      <c r="C52" s="3">
        <v>11</v>
      </c>
      <c r="D52" s="1">
        <v>8.6700000000000006E-3</v>
      </c>
      <c r="E52" s="9">
        <v>8.77E-3</v>
      </c>
      <c r="F52" s="1">
        <v>6.6899999999999998E-3</v>
      </c>
      <c r="G52" s="2"/>
      <c r="H52" s="1">
        <v>6.1199999999999996E-3</v>
      </c>
      <c r="I52" s="2"/>
      <c r="J52" s="7">
        <f t="shared" si="0"/>
        <v>1.1402508551881345</v>
      </c>
      <c r="K52" s="3" t="str">
        <f t="shared" si="1"/>
        <v/>
      </c>
      <c r="L52" s="1" t="str">
        <f t="shared" si="2"/>
        <v/>
      </c>
      <c r="M52" s="9">
        <f t="shared" si="3"/>
        <v>1.1402508551881345</v>
      </c>
      <c r="N52" s="1">
        <f t="shared" si="4"/>
        <v>-1.1402508551881345</v>
      </c>
      <c r="O52" s="9" t="str">
        <f t="shared" si="5"/>
        <v/>
      </c>
      <c r="P52" s="1" t="str">
        <f t="shared" si="6"/>
        <v/>
      </c>
      <c r="Q52" s="9">
        <f t="shared" si="7"/>
        <v>-1.1402508551881345</v>
      </c>
    </row>
    <row r="53" spans="1:17" x14ac:dyDescent="0.3">
      <c r="A53" s="8" t="s">
        <v>22</v>
      </c>
      <c r="B53" s="7">
        <v>1</v>
      </c>
      <c r="C53" s="3">
        <v>10</v>
      </c>
      <c r="D53" s="1">
        <v>9.5399999999999999E-3</v>
      </c>
      <c r="E53" s="9">
        <v>9.5999999999999992E-3</v>
      </c>
      <c r="F53" s="1">
        <v>7.3600000000000002E-3</v>
      </c>
      <c r="G53" s="9">
        <v>7.4099999999999999E-3</v>
      </c>
      <c r="H53" s="1">
        <v>6.7299999999999999E-3</v>
      </c>
      <c r="I53" s="9">
        <v>6.77E-3</v>
      </c>
      <c r="J53" s="7">
        <f t="shared" si="0"/>
        <v>0.62499999999999267</v>
      </c>
      <c r="K53" s="3">
        <f t="shared" si="1"/>
        <v>0.67476383265856543</v>
      </c>
      <c r="L53" s="1">
        <f t="shared" si="2"/>
        <v>0.59084194977843585</v>
      </c>
      <c r="M53" s="9">
        <f t="shared" si="3"/>
        <v>0.63020192747899795</v>
      </c>
      <c r="N53" s="1">
        <f t="shared" si="4"/>
        <v>-0.62499999999999267</v>
      </c>
      <c r="O53" s="9">
        <f t="shared" si="5"/>
        <v>-0.67476383265856543</v>
      </c>
      <c r="P53" s="1">
        <f t="shared" si="6"/>
        <v>-0.59084194977843585</v>
      </c>
      <c r="Q53" s="9">
        <f t="shared" si="7"/>
        <v>-0.63020192747899795</v>
      </c>
    </row>
    <row r="54" spans="1:17" x14ac:dyDescent="0.3">
      <c r="A54" s="8" t="s">
        <v>22</v>
      </c>
      <c r="B54" s="7">
        <v>2</v>
      </c>
      <c r="C54" s="3">
        <v>11</v>
      </c>
      <c r="D54" s="1">
        <v>8.6700000000000006E-3</v>
      </c>
      <c r="E54" s="9">
        <v>8.7600000000000004E-3</v>
      </c>
      <c r="F54" s="1">
        <v>6.6899999999999998E-3</v>
      </c>
      <c r="G54" s="9">
        <v>6.77E-3</v>
      </c>
      <c r="H54" s="1">
        <v>6.1199999999999996E-3</v>
      </c>
      <c r="I54" s="9">
        <v>6.1599999999999997E-3</v>
      </c>
      <c r="J54" s="7">
        <f t="shared" si="0"/>
        <v>1.0273972602739703</v>
      </c>
      <c r="K54" s="3">
        <f t="shared" si="1"/>
        <v>1.1816838995568717</v>
      </c>
      <c r="L54" s="1">
        <f t="shared" si="2"/>
        <v>0.64935064935065112</v>
      </c>
      <c r="M54" s="9">
        <f t="shared" si="3"/>
        <v>0.95281060306049781</v>
      </c>
      <c r="N54" s="1">
        <f t="shared" si="4"/>
        <v>-1.0273972602739703</v>
      </c>
      <c r="O54" s="9">
        <f t="shared" si="5"/>
        <v>-1.1816838995568717</v>
      </c>
      <c r="P54" s="1">
        <f t="shared" si="6"/>
        <v>-0.64935064935065112</v>
      </c>
      <c r="Q54" s="9">
        <f t="shared" si="7"/>
        <v>-0.95281060306049781</v>
      </c>
    </row>
    <row r="55" spans="1:17" x14ac:dyDescent="0.3">
      <c r="A55" s="8" t="s">
        <v>22</v>
      </c>
      <c r="B55" s="7">
        <v>3</v>
      </c>
      <c r="C55" s="3">
        <v>12</v>
      </c>
      <c r="D55" s="1">
        <v>7.9500000000000005E-3</v>
      </c>
      <c r="E55" s="9">
        <v>8.0199999999999994E-3</v>
      </c>
      <c r="F55" s="1">
        <v>6.1399999999999996E-3</v>
      </c>
      <c r="G55" s="9">
        <v>6.1900000000000002E-3</v>
      </c>
      <c r="H55" s="1">
        <v>5.6100000000000004E-3</v>
      </c>
      <c r="I55" s="2"/>
      <c r="J55" s="7">
        <f t="shared" si="0"/>
        <v>0.87281795511220561</v>
      </c>
      <c r="K55" s="3">
        <f t="shared" si="1"/>
        <v>0.80775444264944363</v>
      </c>
      <c r="L55" s="1" t="str">
        <f t="shared" si="2"/>
        <v/>
      </c>
      <c r="M55" s="9">
        <f t="shared" si="3"/>
        <v>0.84028619888082456</v>
      </c>
      <c r="N55" s="1">
        <f t="shared" si="4"/>
        <v>-0.87281795511220561</v>
      </c>
      <c r="O55" s="9">
        <f t="shared" si="5"/>
        <v>-0.80775444264944363</v>
      </c>
      <c r="P55" s="1" t="str">
        <f t="shared" si="6"/>
        <v/>
      </c>
      <c r="Q55" s="9">
        <f t="shared" si="7"/>
        <v>-0.84028619888082456</v>
      </c>
    </row>
    <row r="56" spans="1:17" x14ac:dyDescent="0.3">
      <c r="A56" s="8" t="s">
        <v>22</v>
      </c>
      <c r="B56" s="7">
        <v>4</v>
      </c>
      <c r="C56" s="3">
        <v>13</v>
      </c>
      <c r="D56" s="1">
        <v>7.3400000000000002E-3</v>
      </c>
      <c r="E56" s="9">
        <v>7.4099999999999999E-3</v>
      </c>
      <c r="F56" s="1">
        <v>5.6600000000000001E-3</v>
      </c>
      <c r="G56" s="2"/>
      <c r="H56" s="1">
        <v>5.1799999999999997E-3</v>
      </c>
      <c r="I56" s="2"/>
      <c r="J56" s="7">
        <f t="shared" si="0"/>
        <v>0.94466936572199389</v>
      </c>
      <c r="K56" s="3" t="str">
        <f t="shared" si="1"/>
        <v/>
      </c>
      <c r="L56" s="1" t="str">
        <f t="shared" si="2"/>
        <v/>
      </c>
      <c r="M56" s="9">
        <f t="shared" si="3"/>
        <v>0.94466936572199389</v>
      </c>
      <c r="N56" s="1">
        <f t="shared" si="4"/>
        <v>-0.94466936572199389</v>
      </c>
      <c r="O56" s="9" t="str">
        <f t="shared" si="5"/>
        <v/>
      </c>
      <c r="P56" s="1" t="str">
        <f t="shared" si="6"/>
        <v/>
      </c>
      <c r="Q56" s="9">
        <f t="shared" si="7"/>
        <v>-0.94466936572199389</v>
      </c>
    </row>
    <row r="57" spans="1:17" x14ac:dyDescent="0.3">
      <c r="A57" s="8" t="s">
        <v>23</v>
      </c>
      <c r="B57" s="7">
        <v>1</v>
      </c>
      <c r="C57" s="3">
        <v>12</v>
      </c>
      <c r="D57" s="1">
        <v>7.9500000000000005E-3</v>
      </c>
      <c r="E57" s="9">
        <v>8.0000000000000002E-3</v>
      </c>
      <c r="F57" s="1">
        <v>6.1399999999999996E-3</v>
      </c>
      <c r="G57" s="9">
        <v>6.1799999999999997E-3</v>
      </c>
      <c r="H57" s="1">
        <v>5.6100000000000004E-3</v>
      </c>
      <c r="I57" s="9">
        <v>5.6100000000000004E-3</v>
      </c>
      <c r="J57" s="7">
        <f t="shared" si="0"/>
        <v>0.62499999999999623</v>
      </c>
      <c r="K57" s="3">
        <f t="shared" si="1"/>
        <v>0.64724919093851307</v>
      </c>
      <c r="L57" s="1">
        <f t="shared" si="2"/>
        <v>0</v>
      </c>
      <c r="M57" s="9">
        <f t="shared" si="3"/>
        <v>0.42408306364616982</v>
      </c>
      <c r="N57" s="1">
        <f t="shared" si="4"/>
        <v>-0.62499999999999623</v>
      </c>
      <c r="O57" s="9">
        <f t="shared" si="5"/>
        <v>-0.64724919093851307</v>
      </c>
      <c r="P57" s="1">
        <f t="shared" si="6"/>
        <v>0</v>
      </c>
      <c r="Q57" s="9">
        <f t="shared" si="7"/>
        <v>-0.42408306364616982</v>
      </c>
    </row>
    <row r="58" spans="1:17" x14ac:dyDescent="0.3">
      <c r="A58" s="8" t="s">
        <v>23</v>
      </c>
      <c r="B58" s="7">
        <v>2</v>
      </c>
      <c r="C58" s="3">
        <v>13</v>
      </c>
      <c r="D58" s="1">
        <v>7.3400000000000002E-3</v>
      </c>
      <c r="E58" s="9">
        <v>7.4099999999999999E-3</v>
      </c>
      <c r="F58" s="1">
        <v>5.6600000000000001E-3</v>
      </c>
      <c r="G58" s="9">
        <v>5.6899999999999997E-3</v>
      </c>
      <c r="H58" s="1">
        <v>5.1799999999999997E-3</v>
      </c>
      <c r="I58" s="2"/>
      <c r="J58" s="7">
        <f t="shared" si="0"/>
        <v>0.94466936572199389</v>
      </c>
      <c r="K58" s="3">
        <f t="shared" si="1"/>
        <v>0.52724077328646124</v>
      </c>
      <c r="L58" s="1" t="str">
        <f t="shared" si="2"/>
        <v/>
      </c>
      <c r="M58" s="9">
        <f t="shared" si="3"/>
        <v>0.73595506950422762</v>
      </c>
      <c r="N58" s="1">
        <f t="shared" si="4"/>
        <v>-0.94466936572199389</v>
      </c>
      <c r="O58" s="9">
        <f t="shared" si="5"/>
        <v>-0.52724077328646124</v>
      </c>
      <c r="P58" s="1" t="str">
        <f t="shared" si="6"/>
        <v/>
      </c>
      <c r="Q58" s="9">
        <f t="shared" si="7"/>
        <v>-0.73595506950422762</v>
      </c>
    </row>
    <row r="59" spans="1:17" x14ac:dyDescent="0.3">
      <c r="A59" s="8" t="s">
        <v>23</v>
      </c>
      <c r="B59" s="7">
        <v>3</v>
      </c>
      <c r="C59" s="3">
        <v>14</v>
      </c>
      <c r="D59" s="1">
        <v>6.8100000000000001E-3</v>
      </c>
      <c r="E59" s="9">
        <v>6.8700000000000002E-3</v>
      </c>
      <c r="F59" s="1">
        <v>5.2599999999999999E-3</v>
      </c>
      <c r="G59" s="2"/>
      <c r="H59" s="1">
        <v>4.81E-3</v>
      </c>
      <c r="I59" s="2"/>
      <c r="J59" s="7">
        <f t="shared" si="0"/>
        <v>0.87336244541484942</v>
      </c>
      <c r="K59" s="3" t="str">
        <f t="shared" si="1"/>
        <v/>
      </c>
      <c r="L59" s="1" t="str">
        <f t="shared" si="2"/>
        <v/>
      </c>
      <c r="M59" s="9">
        <f t="shared" si="3"/>
        <v>0.87336244541484942</v>
      </c>
      <c r="N59" s="1">
        <f t="shared" si="4"/>
        <v>-0.87336244541484942</v>
      </c>
      <c r="O59" s="9" t="str">
        <f t="shared" si="5"/>
        <v/>
      </c>
      <c r="P59" s="1" t="str">
        <f t="shared" si="6"/>
        <v/>
      </c>
      <c r="Q59" s="9">
        <f t="shared" si="7"/>
        <v>-0.87336244541484942</v>
      </c>
    </row>
    <row r="60" spans="1:17" x14ac:dyDescent="0.3">
      <c r="A60" s="8" t="s">
        <v>23</v>
      </c>
      <c r="B60" s="7">
        <v>4</v>
      </c>
      <c r="C60" s="3">
        <v>15</v>
      </c>
      <c r="D60" s="1">
        <v>6.3600000000000002E-3</v>
      </c>
      <c r="E60" s="9">
        <v>6.4200000000000004E-3</v>
      </c>
      <c r="F60" s="1">
        <v>4.9100000000000003E-3</v>
      </c>
      <c r="G60" s="2"/>
      <c r="H60" s="1">
        <v>4.4900000000000001E-3</v>
      </c>
      <c r="I60" s="2"/>
      <c r="J60" s="7">
        <f t="shared" si="0"/>
        <v>0.93457943925233888</v>
      </c>
      <c r="K60" s="3" t="str">
        <f t="shared" si="1"/>
        <v/>
      </c>
      <c r="L60" s="1" t="str">
        <f t="shared" si="2"/>
        <v/>
      </c>
      <c r="M60" s="9">
        <f t="shared" si="3"/>
        <v>0.93457943925233888</v>
      </c>
      <c r="N60" s="1">
        <f t="shared" si="4"/>
        <v>-0.93457943925233888</v>
      </c>
      <c r="O60" s="9" t="str">
        <f t="shared" si="5"/>
        <v/>
      </c>
      <c r="P60" s="1" t="str">
        <f t="shared" si="6"/>
        <v/>
      </c>
      <c r="Q60" s="9">
        <f t="shared" si="7"/>
        <v>-0.93457943925233888</v>
      </c>
    </row>
    <row r="61" spans="1:17" x14ac:dyDescent="0.3">
      <c r="A61" s="8" t="s">
        <v>23</v>
      </c>
      <c r="B61" s="7">
        <v>5</v>
      </c>
      <c r="C61" s="3">
        <v>16</v>
      </c>
      <c r="D61" s="1">
        <v>5.96E-3</v>
      </c>
      <c r="E61" s="9">
        <v>6.0200000000000002E-3</v>
      </c>
      <c r="F61" s="1">
        <v>4.5999999999999999E-3</v>
      </c>
      <c r="G61" s="2"/>
      <c r="H61" s="1">
        <v>4.2100000000000002E-3</v>
      </c>
      <c r="I61" s="2"/>
      <c r="J61" s="7">
        <f t="shared" si="0"/>
        <v>0.99667774086378991</v>
      </c>
      <c r="K61" s="3" t="str">
        <f t="shared" si="1"/>
        <v/>
      </c>
      <c r="L61" s="1" t="str">
        <f t="shared" si="2"/>
        <v/>
      </c>
      <c r="M61" s="9">
        <f t="shared" si="3"/>
        <v>0.99667774086378991</v>
      </c>
      <c r="N61" s="1">
        <f t="shared" si="4"/>
        <v>-0.99667774086378991</v>
      </c>
      <c r="O61" s="9" t="str">
        <f t="shared" si="5"/>
        <v/>
      </c>
      <c r="P61" s="1" t="str">
        <f t="shared" si="6"/>
        <v/>
      </c>
      <c r="Q61" s="9">
        <f t="shared" si="7"/>
        <v>-0.99667774086378991</v>
      </c>
    </row>
    <row r="62" spans="1:17" x14ac:dyDescent="0.3">
      <c r="A62" s="8" t="s">
        <v>24</v>
      </c>
      <c r="B62" s="7">
        <v>1</v>
      </c>
      <c r="C62" s="3">
        <v>1</v>
      </c>
      <c r="D62" s="1">
        <v>9.5399999999999999E-2</v>
      </c>
      <c r="E62" s="2"/>
      <c r="F62" s="1">
        <v>7.3599999999999999E-2</v>
      </c>
      <c r="G62" s="2"/>
      <c r="H62" s="1">
        <v>6.7299999999999999E-2</v>
      </c>
      <c r="I62" s="2"/>
      <c r="J62" s="7" t="str">
        <f t="shared" si="0"/>
        <v/>
      </c>
      <c r="K62" s="3" t="str">
        <f t="shared" si="1"/>
        <v/>
      </c>
      <c r="L62" s="1" t="str">
        <f t="shared" si="2"/>
        <v/>
      </c>
      <c r="M62" s="9" t="str">
        <f t="shared" si="3"/>
        <v/>
      </c>
      <c r="N62" s="1" t="str">
        <f t="shared" si="4"/>
        <v/>
      </c>
      <c r="O62" s="9" t="str">
        <f t="shared" si="5"/>
        <v/>
      </c>
      <c r="P62" s="1" t="str">
        <f t="shared" si="6"/>
        <v/>
      </c>
      <c r="Q62" s="9" t="str">
        <f t="shared" si="7"/>
        <v/>
      </c>
    </row>
    <row r="63" spans="1:17" x14ac:dyDescent="0.3">
      <c r="A63" s="8" t="s">
        <v>24</v>
      </c>
      <c r="B63" s="7">
        <v>2</v>
      </c>
      <c r="C63" s="3">
        <v>2</v>
      </c>
      <c r="D63" s="1">
        <v>4.7699999999999999E-2</v>
      </c>
      <c r="E63" s="2"/>
      <c r="F63" s="1">
        <v>3.6799999999999999E-2</v>
      </c>
      <c r="G63" s="9">
        <v>3.6900000000000002E-2</v>
      </c>
      <c r="H63" s="1">
        <v>3.3700000000000001E-2</v>
      </c>
      <c r="I63" s="2"/>
      <c r="J63" s="7" t="str">
        <f t="shared" si="0"/>
        <v/>
      </c>
      <c r="K63" s="3">
        <f t="shared" si="1"/>
        <v>0.27100271002710802</v>
      </c>
      <c r="L63" s="1" t="str">
        <f t="shared" si="2"/>
        <v/>
      </c>
      <c r="M63" s="9">
        <f t="shared" si="3"/>
        <v>0.27100271002710802</v>
      </c>
      <c r="N63" s="1" t="str">
        <f t="shared" si="4"/>
        <v/>
      </c>
      <c r="O63" s="9">
        <f t="shared" si="5"/>
        <v>-0.27100271002710802</v>
      </c>
      <c r="P63" s="1" t="str">
        <f t="shared" si="6"/>
        <v/>
      </c>
      <c r="Q63" s="9">
        <f t="shared" si="7"/>
        <v>-0.27100271002710802</v>
      </c>
    </row>
    <row r="64" spans="1:17" x14ac:dyDescent="0.3">
      <c r="A64" s="8" t="s">
        <v>24</v>
      </c>
      <c r="B64" s="7">
        <v>3</v>
      </c>
      <c r="C64" s="3">
        <v>3</v>
      </c>
      <c r="D64" s="1">
        <v>3.1800000000000002E-2</v>
      </c>
      <c r="E64" s="2"/>
      <c r="F64" s="1">
        <v>2.4500000000000001E-2</v>
      </c>
      <c r="G64" s="2"/>
      <c r="H64" s="1">
        <v>2.24E-2</v>
      </c>
      <c r="I64" s="2"/>
      <c r="J64" s="7" t="str">
        <f t="shared" si="0"/>
        <v/>
      </c>
      <c r="K64" s="3" t="str">
        <f t="shared" si="1"/>
        <v/>
      </c>
      <c r="L64" s="1" t="str">
        <f t="shared" si="2"/>
        <v/>
      </c>
      <c r="M64" s="9" t="str">
        <f t="shared" si="3"/>
        <v/>
      </c>
      <c r="N64" s="1" t="str">
        <f t="shared" si="4"/>
        <v/>
      </c>
      <c r="O64" s="9" t="str">
        <f t="shared" si="5"/>
        <v/>
      </c>
      <c r="P64" s="1" t="str">
        <f t="shared" si="6"/>
        <v/>
      </c>
      <c r="Q64" s="9" t="str">
        <f t="shared" si="7"/>
        <v/>
      </c>
    </row>
    <row r="65" spans="1:17" x14ac:dyDescent="0.3">
      <c r="A65" s="8" t="s">
        <v>24</v>
      </c>
      <c r="B65" s="7">
        <v>4</v>
      </c>
      <c r="C65" s="3">
        <v>4</v>
      </c>
      <c r="D65" s="1">
        <v>2.3800000000000002E-2</v>
      </c>
      <c r="E65" s="2"/>
      <c r="F65" s="1">
        <v>1.84E-2</v>
      </c>
      <c r="G65" s="2"/>
      <c r="H65" s="1">
        <v>1.6799999999999999E-2</v>
      </c>
      <c r="I65" s="2"/>
      <c r="J65" s="7" t="str">
        <f t="shared" si="0"/>
        <v/>
      </c>
      <c r="K65" s="3" t="str">
        <f t="shared" si="1"/>
        <v/>
      </c>
      <c r="L65" s="1" t="str">
        <f t="shared" si="2"/>
        <v/>
      </c>
      <c r="M65" s="9" t="str">
        <f t="shared" si="3"/>
        <v/>
      </c>
      <c r="N65" s="1" t="str">
        <f t="shared" si="4"/>
        <v/>
      </c>
      <c r="O65" s="9" t="str">
        <f t="shared" si="5"/>
        <v/>
      </c>
      <c r="P65" s="1" t="str">
        <f t="shared" si="6"/>
        <v/>
      </c>
      <c r="Q65" s="9" t="str">
        <f t="shared" si="7"/>
        <v/>
      </c>
    </row>
    <row r="66" spans="1:17" x14ac:dyDescent="0.3">
      <c r="A66" s="8" t="s">
        <v>24</v>
      </c>
      <c r="B66" s="7">
        <v>5</v>
      </c>
      <c r="C66" s="3">
        <v>5</v>
      </c>
      <c r="D66" s="1">
        <v>1.9099999999999999E-2</v>
      </c>
      <c r="E66" s="2"/>
      <c r="F66" s="1">
        <v>1.47E-2</v>
      </c>
      <c r="G66" s="2"/>
      <c r="H66" s="1">
        <v>1.35E-2</v>
      </c>
      <c r="I66" s="2"/>
      <c r="J66" s="7" t="str">
        <f t="shared" si="0"/>
        <v/>
      </c>
      <c r="K66" s="3" t="str">
        <f t="shared" si="1"/>
        <v/>
      </c>
      <c r="L66" s="1" t="str">
        <f t="shared" si="2"/>
        <v/>
      </c>
      <c r="M66" s="9" t="str">
        <f t="shared" si="3"/>
        <v/>
      </c>
      <c r="N66" s="1" t="str">
        <f t="shared" si="4"/>
        <v/>
      </c>
      <c r="O66" s="9" t="str">
        <f t="shared" si="5"/>
        <v/>
      </c>
      <c r="P66" s="1" t="str">
        <f t="shared" si="6"/>
        <v/>
      </c>
      <c r="Q66" s="9" t="str">
        <f t="shared" si="7"/>
        <v/>
      </c>
    </row>
    <row r="67" spans="1:17" x14ac:dyDescent="0.3">
      <c r="A67" s="8" t="s">
        <v>24</v>
      </c>
      <c r="B67" s="7">
        <v>6</v>
      </c>
      <c r="C67" s="3">
        <v>6</v>
      </c>
      <c r="D67" s="1">
        <v>1.5900000000000001E-2</v>
      </c>
      <c r="E67" s="2"/>
      <c r="F67" s="1">
        <v>1.23E-2</v>
      </c>
      <c r="G67" s="2"/>
      <c r="H67" s="1">
        <v>1.12E-2</v>
      </c>
      <c r="I67" s="2"/>
      <c r="J67" s="7" t="str">
        <f t="shared" ref="J67:J115" si="8">IF(OR(D67="",E67="",E67=0),"",100*ABS(D67-E67)/ABS(E67))</f>
        <v/>
      </c>
      <c r="K67" s="3" t="str">
        <f t="shared" ref="K67:K115" si="9">IF(OR(F67="",G67="",G67=0),"",100*ABS(F67-G67)/ABS(G67))</f>
        <v/>
      </c>
      <c r="L67" s="1" t="str">
        <f t="shared" ref="L67:L115" si="10">IF(OR(H67="",I67="",I67=0),"",100*ABS(H67-I67)/ABS(I67))</f>
        <v/>
      </c>
      <c r="M67" s="9" t="str">
        <f t="shared" ref="M67:M115" si="11">IFERROR(AVERAGE(J67:L67),"")</f>
        <v/>
      </c>
      <c r="N67" s="1" t="str">
        <f t="shared" ref="N67:N115" si="12">IF(OR(D67="",E67="",E67=0),"",100*(D67-E67)/E67)</f>
        <v/>
      </c>
      <c r="O67" s="9" t="str">
        <f t="shared" ref="O67:O115" si="13">IF(OR(F67="",G67="",G67=0),"",100*(F67-G67)/G67)</f>
        <v/>
      </c>
      <c r="P67" s="1" t="str">
        <f t="shared" ref="P67:P115" si="14">IF(OR(H67="",I67="",I67=0),"",100*(H67-I67)/I67)</f>
        <v/>
      </c>
      <c r="Q67" s="9" t="str">
        <f t="shared" ref="Q67:Q115" si="15">IFERROR(AVERAGE(N67:P67),"")</f>
        <v/>
      </c>
    </row>
    <row r="68" spans="1:17" x14ac:dyDescent="0.3">
      <c r="A68" s="8" t="s">
        <v>24</v>
      </c>
      <c r="B68" s="7">
        <v>7</v>
      </c>
      <c r="C68" s="3">
        <v>12</v>
      </c>
      <c r="D68" s="1">
        <v>7.9500000000000005E-3</v>
      </c>
      <c r="E68" s="2"/>
      <c r="F68" s="1">
        <v>6.1399999999999996E-3</v>
      </c>
      <c r="G68" s="2"/>
      <c r="H68" s="1">
        <v>5.6100000000000004E-3</v>
      </c>
      <c r="I68" s="2"/>
      <c r="J68" s="7" t="str">
        <f t="shared" si="8"/>
        <v/>
      </c>
      <c r="K68" s="3" t="str">
        <f t="shared" si="9"/>
        <v/>
      </c>
      <c r="L68" s="1" t="str">
        <f t="shared" si="10"/>
        <v/>
      </c>
      <c r="M68" s="9" t="str">
        <f t="shared" si="11"/>
        <v/>
      </c>
      <c r="N68" s="1" t="str">
        <f t="shared" si="12"/>
        <v/>
      </c>
      <c r="O68" s="9" t="str">
        <f t="shared" si="13"/>
        <v/>
      </c>
      <c r="P68" s="1" t="str">
        <f t="shared" si="14"/>
        <v/>
      </c>
      <c r="Q68" s="9" t="str">
        <f t="shared" si="15"/>
        <v/>
      </c>
    </row>
    <row r="69" spans="1:17" x14ac:dyDescent="0.3">
      <c r="A69" s="8" t="s">
        <v>24</v>
      </c>
      <c r="B69" s="7">
        <v>8</v>
      </c>
      <c r="C69" s="3">
        <v>14</v>
      </c>
      <c r="D69" s="1">
        <v>6.8100000000000001E-3</v>
      </c>
      <c r="E69" s="2"/>
      <c r="F69" s="1">
        <v>5.2599999999999999E-3</v>
      </c>
      <c r="G69" s="2"/>
      <c r="H69" s="1">
        <v>4.81E-3</v>
      </c>
      <c r="I69" s="2"/>
      <c r="J69" s="7" t="str">
        <f t="shared" si="8"/>
        <v/>
      </c>
      <c r="K69" s="3" t="str">
        <f t="shared" si="9"/>
        <v/>
      </c>
      <c r="L69" s="1" t="str">
        <f t="shared" si="10"/>
        <v/>
      </c>
      <c r="M69" s="9" t="str">
        <f t="shared" si="11"/>
        <v/>
      </c>
      <c r="N69" s="1" t="str">
        <f t="shared" si="12"/>
        <v/>
      </c>
      <c r="O69" s="9" t="str">
        <f t="shared" si="13"/>
        <v/>
      </c>
      <c r="P69" s="1" t="str">
        <f t="shared" si="14"/>
        <v/>
      </c>
      <c r="Q69" s="9" t="str">
        <f t="shared" si="15"/>
        <v/>
      </c>
    </row>
    <row r="70" spans="1:17" x14ac:dyDescent="0.3">
      <c r="A70" s="8" t="s">
        <v>24</v>
      </c>
      <c r="B70" s="7">
        <v>9</v>
      </c>
      <c r="C70" s="3">
        <v>26</v>
      </c>
      <c r="D70" s="1">
        <v>3.6700000000000001E-3</v>
      </c>
      <c r="E70" s="2"/>
      <c r="F70" s="1">
        <v>2.8300000000000001E-3</v>
      </c>
      <c r="G70" s="2"/>
      <c r="H70" s="1">
        <v>2.5899999999999999E-3</v>
      </c>
      <c r="I70" s="2"/>
      <c r="J70" s="7" t="str">
        <f t="shared" si="8"/>
        <v/>
      </c>
      <c r="K70" s="3" t="str">
        <f t="shared" si="9"/>
        <v/>
      </c>
      <c r="L70" s="1" t="str">
        <f t="shared" si="10"/>
        <v/>
      </c>
      <c r="M70" s="9" t="str">
        <f t="shared" si="11"/>
        <v/>
      </c>
      <c r="N70" s="1" t="str">
        <f t="shared" si="12"/>
        <v/>
      </c>
      <c r="O70" s="9" t="str">
        <f t="shared" si="13"/>
        <v/>
      </c>
      <c r="P70" s="1" t="str">
        <f t="shared" si="14"/>
        <v/>
      </c>
      <c r="Q70" s="9" t="str">
        <f t="shared" si="15"/>
        <v/>
      </c>
    </row>
    <row r="71" spans="1:17" x14ac:dyDescent="0.3">
      <c r="A71" s="8" t="s">
        <v>25</v>
      </c>
      <c r="B71" s="7">
        <v>1</v>
      </c>
      <c r="C71" s="3">
        <v>1</v>
      </c>
      <c r="D71" s="1">
        <v>9.5399999999999999E-2</v>
      </c>
      <c r="E71" s="2"/>
      <c r="F71" s="1">
        <v>7.3599999999999999E-2</v>
      </c>
      <c r="G71" s="2"/>
      <c r="H71" s="1">
        <v>6.7299999999999999E-2</v>
      </c>
      <c r="I71" s="2"/>
      <c r="J71" s="7" t="str">
        <f t="shared" si="8"/>
        <v/>
      </c>
      <c r="K71" s="3" t="str">
        <f t="shared" si="9"/>
        <v/>
      </c>
      <c r="L71" s="1" t="str">
        <f t="shared" si="10"/>
        <v/>
      </c>
      <c r="M71" s="9" t="str">
        <f t="shared" si="11"/>
        <v/>
      </c>
      <c r="N71" s="1" t="str">
        <f t="shared" si="12"/>
        <v/>
      </c>
      <c r="O71" s="9" t="str">
        <f t="shared" si="13"/>
        <v/>
      </c>
      <c r="P71" s="1" t="str">
        <f t="shared" si="14"/>
        <v/>
      </c>
      <c r="Q71" s="9" t="str">
        <f t="shared" si="15"/>
        <v/>
      </c>
    </row>
    <row r="72" spans="1:17" x14ac:dyDescent="0.3">
      <c r="A72" s="8" t="s">
        <v>25</v>
      </c>
      <c r="B72" s="7">
        <v>2</v>
      </c>
      <c r="C72" s="3">
        <v>2</v>
      </c>
      <c r="D72" s="1">
        <v>4.7699999999999999E-2</v>
      </c>
      <c r="E72" s="2"/>
      <c r="F72" s="1">
        <v>3.6799999999999999E-2</v>
      </c>
      <c r="G72" s="9">
        <v>3.6900000000000002E-2</v>
      </c>
      <c r="H72" s="1">
        <v>3.3700000000000001E-2</v>
      </c>
      <c r="I72" s="2"/>
      <c r="J72" s="7" t="str">
        <f t="shared" si="8"/>
        <v/>
      </c>
      <c r="K72" s="3">
        <f t="shared" si="9"/>
        <v>0.27100271002710802</v>
      </c>
      <c r="L72" s="1" t="str">
        <f t="shared" si="10"/>
        <v/>
      </c>
      <c r="M72" s="9">
        <f t="shared" si="11"/>
        <v>0.27100271002710802</v>
      </c>
      <c r="N72" s="1" t="str">
        <f t="shared" si="12"/>
        <v/>
      </c>
      <c r="O72" s="9">
        <f t="shared" si="13"/>
        <v>-0.27100271002710802</v>
      </c>
      <c r="P72" s="1" t="str">
        <f t="shared" si="14"/>
        <v/>
      </c>
      <c r="Q72" s="9">
        <f t="shared" si="15"/>
        <v>-0.27100271002710802</v>
      </c>
    </row>
    <row r="73" spans="1:17" x14ac:dyDescent="0.3">
      <c r="A73" s="8" t="s">
        <v>25</v>
      </c>
      <c r="B73" s="7">
        <v>3</v>
      </c>
      <c r="C73" s="3">
        <v>3</v>
      </c>
      <c r="D73" s="1">
        <v>3.1800000000000002E-2</v>
      </c>
      <c r="E73" s="2"/>
      <c r="F73" s="1">
        <v>2.4500000000000001E-2</v>
      </c>
      <c r="G73" s="2"/>
      <c r="H73" s="1">
        <v>2.24E-2</v>
      </c>
      <c r="I73" s="2"/>
      <c r="J73" s="7" t="str">
        <f t="shared" si="8"/>
        <v/>
      </c>
      <c r="K73" s="3" t="str">
        <f t="shared" si="9"/>
        <v/>
      </c>
      <c r="L73" s="1" t="str">
        <f t="shared" si="10"/>
        <v/>
      </c>
      <c r="M73" s="9" t="str">
        <f t="shared" si="11"/>
        <v/>
      </c>
      <c r="N73" s="1" t="str">
        <f t="shared" si="12"/>
        <v/>
      </c>
      <c r="O73" s="9" t="str">
        <f t="shared" si="13"/>
        <v/>
      </c>
      <c r="P73" s="1" t="str">
        <f t="shared" si="14"/>
        <v/>
      </c>
      <c r="Q73" s="9" t="str">
        <f t="shared" si="15"/>
        <v/>
      </c>
    </row>
    <row r="74" spans="1:17" x14ac:dyDescent="0.3">
      <c r="A74" s="8" t="s">
        <v>25</v>
      </c>
      <c r="B74" s="7">
        <v>4</v>
      </c>
      <c r="C74" s="3">
        <v>4</v>
      </c>
      <c r="D74" s="1">
        <v>2.3800000000000002E-2</v>
      </c>
      <c r="E74" s="2"/>
      <c r="F74" s="1">
        <v>1.84E-2</v>
      </c>
      <c r="G74" s="2"/>
      <c r="H74" s="1">
        <v>1.6799999999999999E-2</v>
      </c>
      <c r="I74" s="2"/>
      <c r="J74" s="7" t="str">
        <f t="shared" si="8"/>
        <v/>
      </c>
      <c r="K74" s="3" t="str">
        <f t="shared" si="9"/>
        <v/>
      </c>
      <c r="L74" s="1" t="str">
        <f t="shared" si="10"/>
        <v/>
      </c>
      <c r="M74" s="9" t="str">
        <f t="shared" si="11"/>
        <v/>
      </c>
      <c r="N74" s="1" t="str">
        <f t="shared" si="12"/>
        <v/>
      </c>
      <c r="O74" s="9" t="str">
        <f t="shared" si="13"/>
        <v/>
      </c>
      <c r="P74" s="1" t="str">
        <f t="shared" si="14"/>
        <v/>
      </c>
      <c r="Q74" s="9" t="str">
        <f t="shared" si="15"/>
        <v/>
      </c>
    </row>
    <row r="75" spans="1:17" x14ac:dyDescent="0.3">
      <c r="A75" s="8" t="s">
        <v>25</v>
      </c>
      <c r="B75" s="7">
        <v>5</v>
      </c>
      <c r="C75" s="3">
        <v>5</v>
      </c>
      <c r="D75" s="1">
        <v>1.9099999999999999E-2</v>
      </c>
      <c r="E75" s="2"/>
      <c r="F75" s="1">
        <v>1.47E-2</v>
      </c>
      <c r="G75" s="2"/>
      <c r="H75" s="1">
        <v>1.35E-2</v>
      </c>
      <c r="I75" s="2"/>
      <c r="J75" s="7" t="str">
        <f t="shared" si="8"/>
        <v/>
      </c>
      <c r="K75" s="3" t="str">
        <f t="shared" si="9"/>
        <v/>
      </c>
      <c r="L75" s="1" t="str">
        <f t="shared" si="10"/>
        <v/>
      </c>
      <c r="M75" s="9" t="str">
        <f t="shared" si="11"/>
        <v/>
      </c>
      <c r="N75" s="1" t="str">
        <f t="shared" si="12"/>
        <v/>
      </c>
      <c r="O75" s="9" t="str">
        <f t="shared" si="13"/>
        <v/>
      </c>
      <c r="P75" s="1" t="str">
        <f t="shared" si="14"/>
        <v/>
      </c>
      <c r="Q75" s="9" t="str">
        <f t="shared" si="15"/>
        <v/>
      </c>
    </row>
    <row r="76" spans="1:17" x14ac:dyDescent="0.3">
      <c r="A76" s="8" t="s">
        <v>25</v>
      </c>
      <c r="B76" s="7">
        <v>6</v>
      </c>
      <c r="C76" s="3">
        <v>6</v>
      </c>
      <c r="D76" s="1">
        <v>1.5900000000000001E-2</v>
      </c>
      <c r="E76" s="2"/>
      <c r="F76" s="1">
        <v>1.23E-2</v>
      </c>
      <c r="G76" s="2"/>
      <c r="H76" s="1">
        <v>1.12E-2</v>
      </c>
      <c r="I76" s="2"/>
      <c r="J76" s="7" t="str">
        <f t="shared" si="8"/>
        <v/>
      </c>
      <c r="K76" s="3" t="str">
        <f t="shared" si="9"/>
        <v/>
      </c>
      <c r="L76" s="1" t="str">
        <f t="shared" si="10"/>
        <v/>
      </c>
      <c r="M76" s="9" t="str">
        <f t="shared" si="11"/>
        <v/>
      </c>
      <c r="N76" s="1" t="str">
        <f t="shared" si="12"/>
        <v/>
      </c>
      <c r="O76" s="9" t="str">
        <f t="shared" si="13"/>
        <v/>
      </c>
      <c r="P76" s="1" t="str">
        <f t="shared" si="14"/>
        <v/>
      </c>
      <c r="Q76" s="9" t="str">
        <f t="shared" si="15"/>
        <v/>
      </c>
    </row>
    <row r="77" spans="1:17" x14ac:dyDescent="0.3">
      <c r="A77" s="8" t="s">
        <v>25</v>
      </c>
      <c r="B77" s="7">
        <v>7</v>
      </c>
      <c r="C77" s="3">
        <v>8</v>
      </c>
      <c r="D77" s="1">
        <v>1.1900000000000001E-2</v>
      </c>
      <c r="E77" s="2"/>
      <c r="F77" s="1">
        <v>9.2099999999999994E-3</v>
      </c>
      <c r="G77" s="2"/>
      <c r="H77" s="1">
        <v>8.4100000000000008E-3</v>
      </c>
      <c r="I77" s="2"/>
      <c r="J77" s="7" t="str">
        <f t="shared" si="8"/>
        <v/>
      </c>
      <c r="K77" s="3" t="str">
        <f t="shared" si="9"/>
        <v/>
      </c>
      <c r="L77" s="1" t="str">
        <f t="shared" si="10"/>
        <v/>
      </c>
      <c r="M77" s="9" t="str">
        <f t="shared" si="11"/>
        <v/>
      </c>
      <c r="N77" s="1" t="str">
        <f t="shared" si="12"/>
        <v/>
      </c>
      <c r="O77" s="9" t="str">
        <f t="shared" si="13"/>
        <v/>
      </c>
      <c r="P77" s="1" t="str">
        <f t="shared" si="14"/>
        <v/>
      </c>
      <c r="Q77" s="9" t="str">
        <f t="shared" si="15"/>
        <v/>
      </c>
    </row>
    <row r="78" spans="1:17" x14ac:dyDescent="0.3">
      <c r="A78" s="8" t="s">
        <v>25</v>
      </c>
      <c r="B78" s="7">
        <v>8</v>
      </c>
      <c r="C78" s="3">
        <v>10</v>
      </c>
      <c r="D78" s="1">
        <v>9.5399999999999999E-3</v>
      </c>
      <c r="E78" s="2"/>
      <c r="F78" s="1">
        <v>7.3600000000000002E-3</v>
      </c>
      <c r="G78" s="2"/>
      <c r="H78" s="1">
        <v>6.7299999999999999E-3</v>
      </c>
      <c r="I78" s="2"/>
      <c r="J78" s="7" t="str">
        <f t="shared" si="8"/>
        <v/>
      </c>
      <c r="K78" s="3" t="str">
        <f t="shared" si="9"/>
        <v/>
      </c>
      <c r="L78" s="1" t="str">
        <f t="shared" si="10"/>
        <v/>
      </c>
      <c r="M78" s="9" t="str">
        <f t="shared" si="11"/>
        <v/>
      </c>
      <c r="N78" s="1" t="str">
        <f t="shared" si="12"/>
        <v/>
      </c>
      <c r="O78" s="9" t="str">
        <f t="shared" si="13"/>
        <v/>
      </c>
      <c r="P78" s="1" t="str">
        <f t="shared" si="14"/>
        <v/>
      </c>
      <c r="Q78" s="9" t="str">
        <f t="shared" si="15"/>
        <v/>
      </c>
    </row>
    <row r="79" spans="1:17" x14ac:dyDescent="0.3">
      <c r="A79" s="8" t="s">
        <v>25</v>
      </c>
      <c r="B79" s="7">
        <v>9</v>
      </c>
      <c r="C79" s="3">
        <v>11</v>
      </c>
      <c r="D79" s="1">
        <v>8.6700000000000006E-3</v>
      </c>
      <c r="E79" s="2"/>
      <c r="F79" s="1">
        <v>6.6899999999999998E-3</v>
      </c>
      <c r="G79" s="2"/>
      <c r="H79" s="1">
        <v>6.1199999999999996E-3</v>
      </c>
      <c r="I79" s="2"/>
      <c r="J79" s="7" t="str">
        <f t="shared" si="8"/>
        <v/>
      </c>
      <c r="K79" s="3" t="str">
        <f t="shared" si="9"/>
        <v/>
      </c>
      <c r="L79" s="1" t="str">
        <f t="shared" si="10"/>
        <v/>
      </c>
      <c r="M79" s="9" t="str">
        <f t="shared" si="11"/>
        <v/>
      </c>
      <c r="N79" s="1" t="str">
        <f t="shared" si="12"/>
        <v/>
      </c>
      <c r="O79" s="9" t="str">
        <f t="shared" si="13"/>
        <v/>
      </c>
      <c r="P79" s="1" t="str">
        <f t="shared" si="14"/>
        <v/>
      </c>
      <c r="Q79" s="9" t="str">
        <f t="shared" si="15"/>
        <v/>
      </c>
    </row>
    <row r="80" spans="1:17" x14ac:dyDescent="0.3">
      <c r="A80" s="8" t="s">
        <v>25</v>
      </c>
      <c r="B80" s="7">
        <v>10</v>
      </c>
      <c r="C80" s="3">
        <v>29</v>
      </c>
      <c r="D80" s="1">
        <v>3.29E-3</v>
      </c>
      <c r="E80" s="2"/>
      <c r="F80" s="1">
        <v>2.5400000000000002E-3</v>
      </c>
      <c r="G80" s="2"/>
      <c r="H80" s="1">
        <v>2.32E-3</v>
      </c>
      <c r="I80" s="2"/>
      <c r="J80" s="7" t="str">
        <f t="shared" si="8"/>
        <v/>
      </c>
      <c r="K80" s="3" t="str">
        <f t="shared" si="9"/>
        <v/>
      </c>
      <c r="L80" s="1" t="str">
        <f t="shared" si="10"/>
        <v/>
      </c>
      <c r="M80" s="9" t="str">
        <f t="shared" si="11"/>
        <v/>
      </c>
      <c r="N80" s="1" t="str">
        <f t="shared" si="12"/>
        <v/>
      </c>
      <c r="O80" s="9" t="str">
        <f t="shared" si="13"/>
        <v/>
      </c>
      <c r="P80" s="1" t="str">
        <f t="shared" si="14"/>
        <v/>
      </c>
      <c r="Q80" s="9" t="str">
        <f t="shared" si="15"/>
        <v/>
      </c>
    </row>
    <row r="81" spans="1:17" x14ac:dyDescent="0.3">
      <c r="A81" s="8" t="s">
        <v>26</v>
      </c>
      <c r="B81" s="7">
        <v>1</v>
      </c>
      <c r="C81" s="3">
        <v>1</v>
      </c>
      <c r="D81" s="1">
        <v>9.5399999999999999E-2</v>
      </c>
      <c r="E81" s="2"/>
      <c r="F81" s="1">
        <v>7.3599999999999999E-2</v>
      </c>
      <c r="G81" s="2"/>
      <c r="H81" s="1">
        <v>6.7299999999999999E-2</v>
      </c>
      <c r="I81" s="2"/>
      <c r="J81" s="7" t="str">
        <f t="shared" si="8"/>
        <v/>
      </c>
      <c r="K81" s="3" t="str">
        <f t="shared" si="9"/>
        <v/>
      </c>
      <c r="L81" s="1" t="str">
        <f t="shared" si="10"/>
        <v/>
      </c>
      <c r="M81" s="9" t="str">
        <f t="shared" si="11"/>
        <v/>
      </c>
      <c r="N81" s="1" t="str">
        <f t="shared" si="12"/>
        <v/>
      </c>
      <c r="O81" s="9" t="str">
        <f t="shared" si="13"/>
        <v/>
      </c>
      <c r="P81" s="1" t="str">
        <f t="shared" si="14"/>
        <v/>
      </c>
      <c r="Q81" s="9" t="str">
        <f t="shared" si="15"/>
        <v/>
      </c>
    </row>
    <row r="82" spans="1:17" x14ac:dyDescent="0.3">
      <c r="A82" s="8" t="s">
        <v>26</v>
      </c>
      <c r="B82" s="7">
        <v>2</v>
      </c>
      <c r="C82" s="3">
        <v>2</v>
      </c>
      <c r="D82" s="1">
        <v>4.7699999999999999E-2</v>
      </c>
      <c r="E82" s="2"/>
      <c r="F82" s="1">
        <v>3.6799999999999999E-2</v>
      </c>
      <c r="G82" s="9">
        <v>3.6900000000000002E-2</v>
      </c>
      <c r="H82" s="1">
        <v>3.3700000000000001E-2</v>
      </c>
      <c r="I82" s="2"/>
      <c r="J82" s="7" t="str">
        <f t="shared" si="8"/>
        <v/>
      </c>
      <c r="K82" s="3">
        <f t="shared" si="9"/>
        <v>0.27100271002710802</v>
      </c>
      <c r="L82" s="1" t="str">
        <f t="shared" si="10"/>
        <v/>
      </c>
      <c r="M82" s="9">
        <f t="shared" si="11"/>
        <v>0.27100271002710802</v>
      </c>
      <c r="N82" s="1" t="str">
        <f t="shared" si="12"/>
        <v/>
      </c>
      <c r="O82" s="9">
        <f t="shared" si="13"/>
        <v>-0.27100271002710802</v>
      </c>
      <c r="P82" s="1" t="str">
        <f t="shared" si="14"/>
        <v/>
      </c>
      <c r="Q82" s="9">
        <f t="shared" si="15"/>
        <v>-0.27100271002710802</v>
      </c>
    </row>
    <row r="83" spans="1:17" x14ac:dyDescent="0.3">
      <c r="A83" s="8" t="s">
        <v>26</v>
      </c>
      <c r="B83" s="7">
        <v>3</v>
      </c>
      <c r="C83" s="3">
        <v>3</v>
      </c>
      <c r="D83" s="1">
        <v>3.1800000000000002E-2</v>
      </c>
      <c r="E83" s="2"/>
      <c r="F83" s="1">
        <v>2.4500000000000001E-2</v>
      </c>
      <c r="G83" s="2"/>
      <c r="H83" s="1">
        <v>2.24E-2</v>
      </c>
      <c r="I83" s="2"/>
      <c r="J83" s="7" t="str">
        <f t="shared" si="8"/>
        <v/>
      </c>
      <c r="K83" s="3" t="str">
        <f t="shared" si="9"/>
        <v/>
      </c>
      <c r="L83" s="1" t="str">
        <f t="shared" si="10"/>
        <v/>
      </c>
      <c r="M83" s="9" t="str">
        <f t="shared" si="11"/>
        <v/>
      </c>
      <c r="N83" s="1" t="str">
        <f t="shared" si="12"/>
        <v/>
      </c>
      <c r="O83" s="9" t="str">
        <f t="shared" si="13"/>
        <v/>
      </c>
      <c r="P83" s="1" t="str">
        <f t="shared" si="14"/>
        <v/>
      </c>
      <c r="Q83" s="9" t="str">
        <f t="shared" si="15"/>
        <v/>
      </c>
    </row>
    <row r="84" spans="1:17" x14ac:dyDescent="0.3">
      <c r="A84" s="8" t="s">
        <v>26</v>
      </c>
      <c r="B84" s="7">
        <v>4</v>
      </c>
      <c r="C84" s="3">
        <v>4</v>
      </c>
      <c r="D84" s="1">
        <v>2.3800000000000002E-2</v>
      </c>
      <c r="E84" s="2"/>
      <c r="F84" s="1">
        <v>1.84E-2</v>
      </c>
      <c r="G84" s="2"/>
      <c r="H84" s="1">
        <v>1.6799999999999999E-2</v>
      </c>
      <c r="I84" s="2"/>
      <c r="J84" s="7" t="str">
        <f t="shared" si="8"/>
        <v/>
      </c>
      <c r="K84" s="3" t="str">
        <f t="shared" si="9"/>
        <v/>
      </c>
      <c r="L84" s="1" t="str">
        <f t="shared" si="10"/>
        <v/>
      </c>
      <c r="M84" s="9" t="str">
        <f t="shared" si="11"/>
        <v/>
      </c>
      <c r="N84" s="1" t="str">
        <f t="shared" si="12"/>
        <v/>
      </c>
      <c r="O84" s="9" t="str">
        <f t="shared" si="13"/>
        <v/>
      </c>
      <c r="P84" s="1" t="str">
        <f t="shared" si="14"/>
        <v/>
      </c>
      <c r="Q84" s="9" t="str">
        <f t="shared" si="15"/>
        <v/>
      </c>
    </row>
    <row r="85" spans="1:17" x14ac:dyDescent="0.3">
      <c r="A85" s="8" t="s">
        <v>26</v>
      </c>
      <c r="B85" s="7">
        <v>5</v>
      </c>
      <c r="C85" s="3">
        <v>5</v>
      </c>
      <c r="D85" s="1">
        <v>1.9099999999999999E-2</v>
      </c>
      <c r="E85" s="2"/>
      <c r="F85" s="1">
        <v>1.47E-2</v>
      </c>
      <c r="G85" s="2"/>
      <c r="H85" s="1">
        <v>1.35E-2</v>
      </c>
      <c r="I85" s="2"/>
      <c r="J85" s="7" t="str">
        <f t="shared" si="8"/>
        <v/>
      </c>
      <c r="K85" s="3" t="str">
        <f t="shared" si="9"/>
        <v/>
      </c>
      <c r="L85" s="1" t="str">
        <f t="shared" si="10"/>
        <v/>
      </c>
      <c r="M85" s="9" t="str">
        <f t="shared" si="11"/>
        <v/>
      </c>
      <c r="N85" s="1" t="str">
        <f t="shared" si="12"/>
        <v/>
      </c>
      <c r="O85" s="9" t="str">
        <f t="shared" si="13"/>
        <v/>
      </c>
      <c r="P85" s="1" t="str">
        <f t="shared" si="14"/>
        <v/>
      </c>
      <c r="Q85" s="9" t="str">
        <f t="shared" si="15"/>
        <v/>
      </c>
    </row>
    <row r="86" spans="1:17" x14ac:dyDescent="0.3">
      <c r="A86" s="8" t="s">
        <v>26</v>
      </c>
      <c r="B86" s="7">
        <v>6</v>
      </c>
      <c r="C86" s="3">
        <v>6</v>
      </c>
      <c r="D86" s="1">
        <v>1.5900000000000001E-2</v>
      </c>
      <c r="E86" s="2"/>
      <c r="F86" s="1">
        <v>1.23E-2</v>
      </c>
      <c r="G86" s="2"/>
      <c r="H86" s="1">
        <v>1.12E-2</v>
      </c>
      <c r="I86" s="2"/>
      <c r="J86" s="7" t="str">
        <f t="shared" si="8"/>
        <v/>
      </c>
      <c r="K86" s="3" t="str">
        <f t="shared" si="9"/>
        <v/>
      </c>
      <c r="L86" s="1" t="str">
        <f t="shared" si="10"/>
        <v/>
      </c>
      <c r="M86" s="9" t="str">
        <f t="shared" si="11"/>
        <v/>
      </c>
      <c r="N86" s="1" t="str">
        <f t="shared" si="12"/>
        <v/>
      </c>
      <c r="O86" s="9" t="str">
        <f t="shared" si="13"/>
        <v/>
      </c>
      <c r="P86" s="1" t="str">
        <f t="shared" si="14"/>
        <v/>
      </c>
      <c r="Q86" s="9" t="str">
        <f t="shared" si="15"/>
        <v/>
      </c>
    </row>
    <row r="87" spans="1:17" x14ac:dyDescent="0.3">
      <c r="A87" s="8" t="s">
        <v>26</v>
      </c>
      <c r="B87" s="7">
        <v>7</v>
      </c>
      <c r="C87" s="3">
        <v>8</v>
      </c>
      <c r="D87" s="1">
        <v>1.1900000000000001E-2</v>
      </c>
      <c r="E87" s="2"/>
      <c r="F87" s="1">
        <v>9.2099999999999994E-3</v>
      </c>
      <c r="G87" s="2"/>
      <c r="H87" s="1">
        <v>8.4100000000000008E-3</v>
      </c>
      <c r="I87" s="2"/>
      <c r="J87" s="7" t="str">
        <f t="shared" si="8"/>
        <v/>
      </c>
      <c r="K87" s="3" t="str">
        <f t="shared" si="9"/>
        <v/>
      </c>
      <c r="L87" s="1" t="str">
        <f t="shared" si="10"/>
        <v/>
      </c>
      <c r="M87" s="9" t="str">
        <f t="shared" si="11"/>
        <v/>
      </c>
      <c r="N87" s="1" t="str">
        <f t="shared" si="12"/>
        <v/>
      </c>
      <c r="O87" s="9" t="str">
        <f t="shared" si="13"/>
        <v/>
      </c>
      <c r="P87" s="1" t="str">
        <f t="shared" si="14"/>
        <v/>
      </c>
      <c r="Q87" s="9" t="str">
        <f t="shared" si="15"/>
        <v/>
      </c>
    </row>
    <row r="88" spans="1:17" x14ac:dyDescent="0.3">
      <c r="A88" s="8" t="s">
        <v>26</v>
      </c>
      <c r="B88" s="7">
        <v>8</v>
      </c>
      <c r="C88" s="3">
        <v>10</v>
      </c>
      <c r="D88" s="1">
        <v>9.5399999999999999E-3</v>
      </c>
      <c r="E88" s="2"/>
      <c r="F88" s="1">
        <v>7.3600000000000002E-3</v>
      </c>
      <c r="G88" s="2"/>
      <c r="H88" s="1">
        <v>6.7299999999999999E-3</v>
      </c>
      <c r="I88" s="2"/>
      <c r="J88" s="7" t="str">
        <f t="shared" si="8"/>
        <v/>
      </c>
      <c r="K88" s="3" t="str">
        <f t="shared" si="9"/>
        <v/>
      </c>
      <c r="L88" s="1" t="str">
        <f t="shared" si="10"/>
        <v/>
      </c>
      <c r="M88" s="9" t="str">
        <f t="shared" si="11"/>
        <v/>
      </c>
      <c r="N88" s="1" t="str">
        <f t="shared" si="12"/>
        <v/>
      </c>
      <c r="O88" s="9" t="str">
        <f t="shared" si="13"/>
        <v/>
      </c>
      <c r="P88" s="1" t="str">
        <f t="shared" si="14"/>
        <v/>
      </c>
      <c r="Q88" s="9" t="str">
        <f t="shared" si="15"/>
        <v/>
      </c>
    </row>
    <row r="89" spans="1:17" x14ac:dyDescent="0.3">
      <c r="A89" s="8" t="s">
        <v>26</v>
      </c>
      <c r="B89" s="7">
        <v>9</v>
      </c>
      <c r="C89" s="3">
        <v>11</v>
      </c>
      <c r="D89" s="1">
        <v>8.6700000000000006E-3</v>
      </c>
      <c r="E89" s="2"/>
      <c r="F89" s="1">
        <v>6.6899999999999998E-3</v>
      </c>
      <c r="G89" s="2"/>
      <c r="H89" s="1">
        <v>6.1199999999999996E-3</v>
      </c>
      <c r="I89" s="2"/>
      <c r="J89" s="7" t="str">
        <f t="shared" si="8"/>
        <v/>
      </c>
      <c r="K89" s="3" t="str">
        <f t="shared" si="9"/>
        <v/>
      </c>
      <c r="L89" s="1" t="str">
        <f t="shared" si="10"/>
        <v/>
      </c>
      <c r="M89" s="9" t="str">
        <f t="shared" si="11"/>
        <v/>
      </c>
      <c r="N89" s="1" t="str">
        <f t="shared" si="12"/>
        <v/>
      </c>
      <c r="O89" s="9" t="str">
        <f t="shared" si="13"/>
        <v/>
      </c>
      <c r="P89" s="1" t="str">
        <f t="shared" si="14"/>
        <v/>
      </c>
      <c r="Q89" s="9" t="str">
        <f t="shared" si="15"/>
        <v/>
      </c>
    </row>
    <row r="90" spans="1:17" x14ac:dyDescent="0.3">
      <c r="A90" s="8" t="s">
        <v>26</v>
      </c>
      <c r="B90" s="7">
        <v>10</v>
      </c>
      <c r="C90" s="3">
        <v>16</v>
      </c>
      <c r="D90" s="1">
        <v>5.96E-3</v>
      </c>
      <c r="E90" s="2"/>
      <c r="F90" s="1">
        <v>4.5999999999999999E-3</v>
      </c>
      <c r="G90" s="2"/>
      <c r="H90" s="1">
        <v>4.2100000000000002E-3</v>
      </c>
      <c r="I90" s="2"/>
      <c r="J90" s="7" t="str">
        <f t="shared" si="8"/>
        <v/>
      </c>
      <c r="K90" s="3" t="str">
        <f t="shared" si="9"/>
        <v/>
      </c>
      <c r="L90" s="1" t="str">
        <f t="shared" si="10"/>
        <v/>
      </c>
      <c r="M90" s="9" t="str">
        <f t="shared" si="11"/>
        <v/>
      </c>
      <c r="N90" s="1" t="str">
        <f t="shared" si="12"/>
        <v/>
      </c>
      <c r="O90" s="9" t="str">
        <f t="shared" si="13"/>
        <v/>
      </c>
      <c r="P90" s="1" t="str">
        <f t="shared" si="14"/>
        <v/>
      </c>
      <c r="Q90" s="9" t="str">
        <f t="shared" si="15"/>
        <v/>
      </c>
    </row>
    <row r="91" spans="1:17" x14ac:dyDescent="0.3">
      <c r="A91" s="8" t="s">
        <v>27</v>
      </c>
      <c r="B91" s="7">
        <v>1</v>
      </c>
      <c r="C91" s="3">
        <v>1</v>
      </c>
      <c r="D91" s="1">
        <v>9.5399999999999999E-2</v>
      </c>
      <c r="E91" s="2"/>
      <c r="F91" s="1">
        <v>7.3599999999999999E-2</v>
      </c>
      <c r="G91" s="2"/>
      <c r="H91" s="1">
        <v>6.7299999999999999E-2</v>
      </c>
      <c r="I91" s="2"/>
      <c r="J91" s="7" t="str">
        <f t="shared" si="8"/>
        <v/>
      </c>
      <c r="K91" s="3" t="str">
        <f t="shared" si="9"/>
        <v/>
      </c>
      <c r="L91" s="1" t="str">
        <f t="shared" si="10"/>
        <v/>
      </c>
      <c r="M91" s="9" t="str">
        <f t="shared" si="11"/>
        <v/>
      </c>
      <c r="N91" s="1" t="str">
        <f t="shared" si="12"/>
        <v/>
      </c>
      <c r="O91" s="9" t="str">
        <f t="shared" si="13"/>
        <v/>
      </c>
      <c r="P91" s="1" t="str">
        <f t="shared" si="14"/>
        <v/>
      </c>
      <c r="Q91" s="9" t="str">
        <f t="shared" si="15"/>
        <v/>
      </c>
    </row>
    <row r="92" spans="1:17" x14ac:dyDescent="0.3">
      <c r="A92" s="8" t="s">
        <v>27</v>
      </c>
      <c r="B92" s="7">
        <v>2</v>
      </c>
      <c r="C92" s="3">
        <v>2</v>
      </c>
      <c r="D92" s="1">
        <v>4.7699999999999999E-2</v>
      </c>
      <c r="E92" s="2"/>
      <c r="F92" s="1">
        <v>3.6799999999999999E-2</v>
      </c>
      <c r="G92" s="9">
        <v>3.6900000000000002E-2</v>
      </c>
      <c r="H92" s="1">
        <v>3.3700000000000001E-2</v>
      </c>
      <c r="I92" s="2"/>
      <c r="J92" s="7" t="str">
        <f t="shared" si="8"/>
        <v/>
      </c>
      <c r="K92" s="3">
        <f t="shared" si="9"/>
        <v>0.27100271002710802</v>
      </c>
      <c r="L92" s="1" t="str">
        <f t="shared" si="10"/>
        <v/>
      </c>
      <c r="M92" s="9">
        <f t="shared" si="11"/>
        <v>0.27100271002710802</v>
      </c>
      <c r="N92" s="1" t="str">
        <f t="shared" si="12"/>
        <v/>
      </c>
      <c r="O92" s="9">
        <f t="shared" si="13"/>
        <v>-0.27100271002710802</v>
      </c>
      <c r="P92" s="1" t="str">
        <f t="shared" si="14"/>
        <v/>
      </c>
      <c r="Q92" s="9">
        <f t="shared" si="15"/>
        <v>-0.27100271002710802</v>
      </c>
    </row>
    <row r="93" spans="1:17" x14ac:dyDescent="0.3">
      <c r="A93" s="8" t="s">
        <v>27</v>
      </c>
      <c r="B93" s="7">
        <v>3</v>
      </c>
      <c r="C93" s="3">
        <v>3</v>
      </c>
      <c r="D93" s="1">
        <v>3.1800000000000002E-2</v>
      </c>
      <c r="E93" s="2"/>
      <c r="F93" s="1">
        <v>2.4500000000000001E-2</v>
      </c>
      <c r="G93" s="2"/>
      <c r="H93" s="1">
        <v>2.24E-2</v>
      </c>
      <c r="I93" s="2"/>
      <c r="J93" s="7" t="str">
        <f t="shared" si="8"/>
        <v/>
      </c>
      <c r="K93" s="3" t="str">
        <f t="shared" si="9"/>
        <v/>
      </c>
      <c r="L93" s="1" t="str">
        <f t="shared" si="10"/>
        <v/>
      </c>
      <c r="M93" s="9" t="str">
        <f t="shared" si="11"/>
        <v/>
      </c>
      <c r="N93" s="1" t="str">
        <f t="shared" si="12"/>
        <v/>
      </c>
      <c r="O93" s="9" t="str">
        <f t="shared" si="13"/>
        <v/>
      </c>
      <c r="P93" s="1" t="str">
        <f t="shared" si="14"/>
        <v/>
      </c>
      <c r="Q93" s="9" t="str">
        <f t="shared" si="15"/>
        <v/>
      </c>
    </row>
    <row r="94" spans="1:17" x14ac:dyDescent="0.3">
      <c r="A94" s="8" t="s">
        <v>27</v>
      </c>
      <c r="B94" s="7">
        <v>4</v>
      </c>
      <c r="C94" s="3">
        <v>4</v>
      </c>
      <c r="D94" s="1">
        <v>2.3800000000000002E-2</v>
      </c>
      <c r="E94" s="2"/>
      <c r="F94" s="1">
        <v>1.84E-2</v>
      </c>
      <c r="G94" s="2"/>
      <c r="H94" s="1">
        <v>1.6799999999999999E-2</v>
      </c>
      <c r="I94" s="2"/>
      <c r="J94" s="7" t="str">
        <f t="shared" si="8"/>
        <v/>
      </c>
      <c r="K94" s="3" t="str">
        <f t="shared" si="9"/>
        <v/>
      </c>
      <c r="L94" s="1" t="str">
        <f t="shared" si="10"/>
        <v/>
      </c>
      <c r="M94" s="9" t="str">
        <f t="shared" si="11"/>
        <v/>
      </c>
      <c r="N94" s="1" t="str">
        <f t="shared" si="12"/>
        <v/>
      </c>
      <c r="O94" s="9" t="str">
        <f t="shared" si="13"/>
        <v/>
      </c>
      <c r="P94" s="1" t="str">
        <f t="shared" si="14"/>
        <v/>
      </c>
      <c r="Q94" s="9" t="str">
        <f t="shared" si="15"/>
        <v/>
      </c>
    </row>
    <row r="95" spans="1:17" x14ac:dyDescent="0.3">
      <c r="A95" s="8" t="s">
        <v>27</v>
      </c>
      <c r="B95" s="7">
        <v>5</v>
      </c>
      <c r="C95" s="3">
        <v>6</v>
      </c>
      <c r="D95" s="1">
        <v>1.5900000000000001E-2</v>
      </c>
      <c r="E95" s="2"/>
      <c r="F95" s="1">
        <v>1.23E-2</v>
      </c>
      <c r="G95" s="2"/>
      <c r="H95" s="1">
        <v>1.12E-2</v>
      </c>
      <c r="I95" s="2"/>
      <c r="J95" s="7" t="str">
        <f t="shared" si="8"/>
        <v/>
      </c>
      <c r="K95" s="3" t="str">
        <f t="shared" si="9"/>
        <v/>
      </c>
      <c r="L95" s="1" t="str">
        <f t="shared" si="10"/>
        <v/>
      </c>
      <c r="M95" s="9" t="str">
        <f t="shared" si="11"/>
        <v/>
      </c>
      <c r="N95" s="1" t="str">
        <f t="shared" si="12"/>
        <v/>
      </c>
      <c r="O95" s="9" t="str">
        <f t="shared" si="13"/>
        <v/>
      </c>
      <c r="P95" s="1" t="str">
        <f t="shared" si="14"/>
        <v/>
      </c>
      <c r="Q95" s="9" t="str">
        <f t="shared" si="15"/>
        <v/>
      </c>
    </row>
    <row r="96" spans="1:17" x14ac:dyDescent="0.3">
      <c r="A96" s="8" t="s">
        <v>27</v>
      </c>
      <c r="B96" s="7">
        <v>6</v>
      </c>
      <c r="C96" s="3">
        <v>8</v>
      </c>
      <c r="D96" s="1">
        <v>1.1900000000000001E-2</v>
      </c>
      <c r="E96" s="2"/>
      <c r="F96" s="1">
        <v>9.2099999999999994E-3</v>
      </c>
      <c r="G96" s="2"/>
      <c r="H96" s="1">
        <v>8.4100000000000008E-3</v>
      </c>
      <c r="I96" s="2"/>
      <c r="J96" s="7" t="str">
        <f t="shared" si="8"/>
        <v/>
      </c>
      <c r="K96" s="3" t="str">
        <f t="shared" si="9"/>
        <v/>
      </c>
      <c r="L96" s="1" t="str">
        <f t="shared" si="10"/>
        <v/>
      </c>
      <c r="M96" s="9" t="str">
        <f t="shared" si="11"/>
        <v/>
      </c>
      <c r="N96" s="1" t="str">
        <f t="shared" si="12"/>
        <v/>
      </c>
      <c r="O96" s="9" t="str">
        <f t="shared" si="13"/>
        <v/>
      </c>
      <c r="P96" s="1" t="str">
        <f t="shared" si="14"/>
        <v/>
      </c>
      <c r="Q96" s="9" t="str">
        <f t="shared" si="15"/>
        <v/>
      </c>
    </row>
    <row r="97" spans="1:17" x14ac:dyDescent="0.3">
      <c r="A97" s="8" t="s">
        <v>27</v>
      </c>
      <c r="B97" s="7">
        <v>7</v>
      </c>
      <c r="C97" s="3">
        <v>10</v>
      </c>
      <c r="D97" s="1">
        <v>9.5399999999999999E-3</v>
      </c>
      <c r="E97" s="2"/>
      <c r="F97" s="1">
        <v>7.3600000000000002E-3</v>
      </c>
      <c r="G97" s="2"/>
      <c r="H97" s="1">
        <v>6.7299999999999999E-3</v>
      </c>
      <c r="I97" s="2"/>
      <c r="J97" s="7" t="str">
        <f t="shared" si="8"/>
        <v/>
      </c>
      <c r="K97" s="3" t="str">
        <f t="shared" si="9"/>
        <v/>
      </c>
      <c r="L97" s="1" t="str">
        <f t="shared" si="10"/>
        <v/>
      </c>
      <c r="M97" s="9" t="str">
        <f t="shared" si="11"/>
        <v/>
      </c>
      <c r="N97" s="1" t="str">
        <f t="shared" si="12"/>
        <v/>
      </c>
      <c r="O97" s="9" t="str">
        <f t="shared" si="13"/>
        <v/>
      </c>
      <c r="P97" s="1" t="str">
        <f t="shared" si="14"/>
        <v/>
      </c>
      <c r="Q97" s="9" t="str">
        <f t="shared" si="15"/>
        <v/>
      </c>
    </row>
    <row r="98" spans="1:17" x14ac:dyDescent="0.3">
      <c r="A98" s="8" t="s">
        <v>27</v>
      </c>
      <c r="B98" s="7">
        <v>8</v>
      </c>
      <c r="C98" s="3">
        <v>11</v>
      </c>
      <c r="D98" s="1">
        <v>8.6700000000000006E-3</v>
      </c>
      <c r="E98" s="2"/>
      <c r="F98" s="1">
        <v>6.6899999999999998E-3</v>
      </c>
      <c r="G98" s="2"/>
      <c r="H98" s="1">
        <v>6.1199999999999996E-3</v>
      </c>
      <c r="I98" s="2"/>
      <c r="J98" s="7" t="str">
        <f t="shared" si="8"/>
        <v/>
      </c>
      <c r="K98" s="3" t="str">
        <f t="shared" si="9"/>
        <v/>
      </c>
      <c r="L98" s="1" t="str">
        <f t="shared" si="10"/>
        <v/>
      </c>
      <c r="M98" s="9" t="str">
        <f t="shared" si="11"/>
        <v/>
      </c>
      <c r="N98" s="1" t="str">
        <f t="shared" si="12"/>
        <v/>
      </c>
      <c r="O98" s="9" t="str">
        <f t="shared" si="13"/>
        <v/>
      </c>
      <c r="P98" s="1" t="str">
        <f t="shared" si="14"/>
        <v/>
      </c>
      <c r="Q98" s="9" t="str">
        <f t="shared" si="15"/>
        <v/>
      </c>
    </row>
    <row r="99" spans="1:17" x14ac:dyDescent="0.3">
      <c r="A99" s="8" t="s">
        <v>27</v>
      </c>
      <c r="B99" s="7">
        <v>9</v>
      </c>
      <c r="C99" s="3">
        <v>12</v>
      </c>
      <c r="D99" s="1">
        <v>7.9500000000000005E-3</v>
      </c>
      <c r="E99" s="2"/>
      <c r="F99" s="1">
        <v>6.1399999999999996E-3</v>
      </c>
      <c r="G99" s="2"/>
      <c r="H99" s="1">
        <v>5.6100000000000004E-3</v>
      </c>
      <c r="I99" s="2"/>
      <c r="J99" s="7" t="str">
        <f t="shared" si="8"/>
        <v/>
      </c>
      <c r="K99" s="3" t="str">
        <f t="shared" si="9"/>
        <v/>
      </c>
      <c r="L99" s="1" t="str">
        <f t="shared" si="10"/>
        <v/>
      </c>
      <c r="M99" s="9" t="str">
        <f t="shared" si="11"/>
        <v/>
      </c>
      <c r="N99" s="1" t="str">
        <f t="shared" si="12"/>
        <v/>
      </c>
      <c r="O99" s="9" t="str">
        <f t="shared" si="13"/>
        <v/>
      </c>
      <c r="P99" s="1" t="str">
        <f t="shared" si="14"/>
        <v/>
      </c>
      <c r="Q99" s="9" t="str">
        <f t="shared" si="15"/>
        <v/>
      </c>
    </row>
    <row r="100" spans="1:17" x14ac:dyDescent="0.3">
      <c r="A100" s="8" t="s">
        <v>27</v>
      </c>
      <c r="B100" s="7">
        <v>10</v>
      </c>
      <c r="C100" s="3">
        <v>16</v>
      </c>
      <c r="D100" s="1">
        <v>5.96E-3</v>
      </c>
      <c r="E100" s="2"/>
      <c r="F100" s="1">
        <v>4.5999999999999999E-3</v>
      </c>
      <c r="G100" s="2"/>
      <c r="H100" s="1">
        <v>4.2100000000000002E-3</v>
      </c>
      <c r="I100" s="2"/>
      <c r="J100" s="7" t="str">
        <f t="shared" si="8"/>
        <v/>
      </c>
      <c r="K100" s="3" t="str">
        <f t="shared" si="9"/>
        <v/>
      </c>
      <c r="L100" s="1" t="str">
        <f t="shared" si="10"/>
        <v/>
      </c>
      <c r="M100" s="9" t="str">
        <f t="shared" si="11"/>
        <v/>
      </c>
      <c r="N100" s="1" t="str">
        <f t="shared" si="12"/>
        <v/>
      </c>
      <c r="O100" s="9" t="str">
        <f t="shared" si="13"/>
        <v/>
      </c>
      <c r="P100" s="1" t="str">
        <f t="shared" si="14"/>
        <v/>
      </c>
      <c r="Q100" s="9" t="str">
        <f t="shared" si="15"/>
        <v/>
      </c>
    </row>
    <row r="101" spans="1:17" x14ac:dyDescent="0.3">
      <c r="A101" s="8" t="s">
        <v>27</v>
      </c>
      <c r="B101" s="7">
        <v>11</v>
      </c>
      <c r="C101" s="3">
        <v>18</v>
      </c>
      <c r="D101" s="1">
        <v>5.3E-3</v>
      </c>
      <c r="E101" s="2"/>
      <c r="F101" s="1">
        <v>4.0899999999999999E-3</v>
      </c>
      <c r="G101" s="2"/>
      <c r="H101" s="1">
        <v>3.7399999999999998E-3</v>
      </c>
      <c r="I101" s="2"/>
      <c r="J101" s="7" t="str">
        <f t="shared" si="8"/>
        <v/>
      </c>
      <c r="K101" s="3" t="str">
        <f t="shared" si="9"/>
        <v/>
      </c>
      <c r="L101" s="1" t="str">
        <f t="shared" si="10"/>
        <v/>
      </c>
      <c r="M101" s="9" t="str">
        <f t="shared" si="11"/>
        <v/>
      </c>
      <c r="N101" s="1" t="str">
        <f t="shared" si="12"/>
        <v/>
      </c>
      <c r="O101" s="9" t="str">
        <f t="shared" si="13"/>
        <v/>
      </c>
      <c r="P101" s="1" t="str">
        <f t="shared" si="14"/>
        <v/>
      </c>
      <c r="Q101" s="9" t="str">
        <f t="shared" si="15"/>
        <v/>
      </c>
    </row>
    <row r="102" spans="1:17" x14ac:dyDescent="0.3">
      <c r="A102" s="8" t="s">
        <v>28</v>
      </c>
      <c r="B102" s="7">
        <v>1</v>
      </c>
      <c r="C102" s="3">
        <v>1</v>
      </c>
      <c r="D102" s="1">
        <v>9.5399999999999999E-2</v>
      </c>
      <c r="E102" s="2"/>
      <c r="F102" s="1">
        <v>7.3599999999999999E-2</v>
      </c>
      <c r="G102" s="2"/>
      <c r="H102" s="1">
        <v>6.7299999999999999E-2</v>
      </c>
      <c r="I102" s="2"/>
      <c r="J102" s="7" t="str">
        <f t="shared" si="8"/>
        <v/>
      </c>
      <c r="K102" s="3" t="str">
        <f t="shared" si="9"/>
        <v/>
      </c>
      <c r="L102" s="1" t="str">
        <f t="shared" si="10"/>
        <v/>
      </c>
      <c r="M102" s="9" t="str">
        <f t="shared" si="11"/>
        <v/>
      </c>
      <c r="N102" s="1" t="str">
        <f t="shared" si="12"/>
        <v/>
      </c>
      <c r="O102" s="9" t="str">
        <f t="shared" si="13"/>
        <v/>
      </c>
      <c r="P102" s="1" t="str">
        <f t="shared" si="14"/>
        <v/>
      </c>
      <c r="Q102" s="9" t="str">
        <f t="shared" si="15"/>
        <v/>
      </c>
    </row>
    <row r="103" spans="1:17" x14ac:dyDescent="0.3">
      <c r="A103" s="8" t="s">
        <v>28</v>
      </c>
      <c r="B103" s="7">
        <v>2</v>
      </c>
      <c r="C103" s="3">
        <v>2</v>
      </c>
      <c r="D103" s="1">
        <v>4.7699999999999999E-2</v>
      </c>
      <c r="E103" s="2"/>
      <c r="F103" s="1">
        <v>3.6799999999999999E-2</v>
      </c>
      <c r="G103" s="2"/>
      <c r="H103" s="1">
        <v>3.3700000000000001E-2</v>
      </c>
      <c r="I103" s="2"/>
      <c r="J103" s="7" t="str">
        <f t="shared" si="8"/>
        <v/>
      </c>
      <c r="K103" s="3" t="str">
        <f t="shared" si="9"/>
        <v/>
      </c>
      <c r="L103" s="1" t="str">
        <f t="shared" si="10"/>
        <v/>
      </c>
      <c r="M103" s="9" t="str">
        <f t="shared" si="11"/>
        <v/>
      </c>
      <c r="N103" s="1" t="str">
        <f t="shared" si="12"/>
        <v/>
      </c>
      <c r="O103" s="9" t="str">
        <f t="shared" si="13"/>
        <v/>
      </c>
      <c r="P103" s="1" t="str">
        <f t="shared" si="14"/>
        <v/>
      </c>
      <c r="Q103" s="9" t="str">
        <f t="shared" si="15"/>
        <v/>
      </c>
    </row>
    <row r="104" spans="1:17" x14ac:dyDescent="0.3">
      <c r="A104" s="8" t="s">
        <v>28</v>
      </c>
      <c r="B104" s="7">
        <v>3</v>
      </c>
      <c r="C104" s="3">
        <v>3</v>
      </c>
      <c r="D104" s="1">
        <v>3.1800000000000002E-2</v>
      </c>
      <c r="E104" s="2"/>
      <c r="F104" s="1">
        <v>2.4500000000000001E-2</v>
      </c>
      <c r="G104" s="2"/>
      <c r="H104" s="1">
        <v>2.24E-2</v>
      </c>
      <c r="I104" s="2"/>
      <c r="J104" s="7" t="str">
        <f t="shared" si="8"/>
        <v/>
      </c>
      <c r="K104" s="3" t="str">
        <f t="shared" si="9"/>
        <v/>
      </c>
      <c r="L104" s="1" t="str">
        <f t="shared" si="10"/>
        <v/>
      </c>
      <c r="M104" s="9" t="str">
        <f t="shared" si="11"/>
        <v/>
      </c>
      <c r="N104" s="1" t="str">
        <f t="shared" si="12"/>
        <v/>
      </c>
      <c r="O104" s="9" t="str">
        <f t="shared" si="13"/>
        <v/>
      </c>
      <c r="P104" s="1" t="str">
        <f t="shared" si="14"/>
        <v/>
      </c>
      <c r="Q104" s="9" t="str">
        <f t="shared" si="15"/>
        <v/>
      </c>
    </row>
    <row r="105" spans="1:17" x14ac:dyDescent="0.3">
      <c r="A105" s="8" t="s">
        <v>28</v>
      </c>
      <c r="B105" s="7">
        <v>4</v>
      </c>
      <c r="C105" s="3">
        <v>4</v>
      </c>
      <c r="D105" s="1">
        <v>2.3800000000000002E-2</v>
      </c>
      <c r="E105" s="2"/>
      <c r="F105" s="1">
        <v>1.84E-2</v>
      </c>
      <c r="G105" s="2"/>
      <c r="H105" s="1">
        <v>1.6799999999999999E-2</v>
      </c>
      <c r="I105" s="2"/>
      <c r="J105" s="7" t="str">
        <f t="shared" si="8"/>
        <v/>
      </c>
      <c r="K105" s="3" t="str">
        <f t="shared" si="9"/>
        <v/>
      </c>
      <c r="L105" s="1" t="str">
        <f t="shared" si="10"/>
        <v/>
      </c>
      <c r="M105" s="9" t="str">
        <f t="shared" si="11"/>
        <v/>
      </c>
      <c r="N105" s="1" t="str">
        <f t="shared" si="12"/>
        <v/>
      </c>
      <c r="O105" s="9" t="str">
        <f t="shared" si="13"/>
        <v/>
      </c>
      <c r="P105" s="1" t="str">
        <f t="shared" si="14"/>
        <v/>
      </c>
      <c r="Q105" s="9" t="str">
        <f t="shared" si="15"/>
        <v/>
      </c>
    </row>
    <row r="106" spans="1:17" x14ac:dyDescent="0.3">
      <c r="A106" s="8" t="s">
        <v>28</v>
      </c>
      <c r="B106" s="7">
        <v>5</v>
      </c>
      <c r="C106" s="3">
        <v>6</v>
      </c>
      <c r="D106" s="1">
        <v>1.5900000000000001E-2</v>
      </c>
      <c r="E106" s="2"/>
      <c r="F106" s="1">
        <v>1.23E-2</v>
      </c>
      <c r="G106" s="2"/>
      <c r="H106" s="1">
        <v>1.12E-2</v>
      </c>
      <c r="I106" s="2"/>
      <c r="J106" s="7" t="str">
        <f t="shared" si="8"/>
        <v/>
      </c>
      <c r="K106" s="3" t="str">
        <f t="shared" si="9"/>
        <v/>
      </c>
      <c r="L106" s="1" t="str">
        <f t="shared" si="10"/>
        <v/>
      </c>
      <c r="M106" s="9" t="str">
        <f t="shared" si="11"/>
        <v/>
      </c>
      <c r="N106" s="1" t="str">
        <f t="shared" si="12"/>
        <v/>
      </c>
      <c r="O106" s="9" t="str">
        <f t="shared" si="13"/>
        <v/>
      </c>
      <c r="P106" s="1" t="str">
        <f t="shared" si="14"/>
        <v/>
      </c>
      <c r="Q106" s="9" t="str">
        <f t="shared" si="15"/>
        <v/>
      </c>
    </row>
    <row r="107" spans="1:17" x14ac:dyDescent="0.3">
      <c r="A107" s="8" t="s">
        <v>28</v>
      </c>
      <c r="B107" s="7">
        <v>6</v>
      </c>
      <c r="C107" s="3">
        <v>10</v>
      </c>
      <c r="D107" s="1">
        <v>9.5399999999999999E-3</v>
      </c>
      <c r="E107" s="2"/>
      <c r="F107" s="1">
        <v>7.3600000000000002E-3</v>
      </c>
      <c r="G107" s="2"/>
      <c r="H107" s="1">
        <v>6.7299999999999999E-3</v>
      </c>
      <c r="I107" s="2"/>
      <c r="J107" s="7" t="str">
        <f t="shared" si="8"/>
        <v/>
      </c>
      <c r="K107" s="3" t="str">
        <f t="shared" si="9"/>
        <v/>
      </c>
      <c r="L107" s="1" t="str">
        <f t="shared" si="10"/>
        <v/>
      </c>
      <c r="M107" s="9" t="str">
        <f t="shared" si="11"/>
        <v/>
      </c>
      <c r="N107" s="1" t="str">
        <f t="shared" si="12"/>
        <v/>
      </c>
      <c r="O107" s="9" t="str">
        <f t="shared" si="13"/>
        <v/>
      </c>
      <c r="P107" s="1" t="str">
        <f t="shared" si="14"/>
        <v/>
      </c>
      <c r="Q107" s="9" t="str">
        <f t="shared" si="15"/>
        <v/>
      </c>
    </row>
    <row r="108" spans="1:17" x14ac:dyDescent="0.3">
      <c r="A108" s="8" t="s">
        <v>28</v>
      </c>
      <c r="B108" s="7">
        <v>7</v>
      </c>
      <c r="C108" s="3">
        <v>11</v>
      </c>
      <c r="D108" s="1">
        <v>8.6700000000000006E-3</v>
      </c>
      <c r="E108" s="2"/>
      <c r="F108" s="1">
        <v>6.6899999999999998E-3</v>
      </c>
      <c r="G108" s="2"/>
      <c r="H108" s="1">
        <v>6.1199999999999996E-3</v>
      </c>
      <c r="I108" s="2"/>
      <c r="J108" s="7" t="str">
        <f t="shared" si="8"/>
        <v/>
      </c>
      <c r="K108" s="3" t="str">
        <f t="shared" si="9"/>
        <v/>
      </c>
      <c r="L108" s="1" t="str">
        <f t="shared" si="10"/>
        <v/>
      </c>
      <c r="M108" s="9" t="str">
        <f t="shared" si="11"/>
        <v/>
      </c>
      <c r="N108" s="1" t="str">
        <f t="shared" si="12"/>
        <v/>
      </c>
      <c r="O108" s="9" t="str">
        <f t="shared" si="13"/>
        <v/>
      </c>
      <c r="P108" s="1" t="str">
        <f t="shared" si="14"/>
        <v/>
      </c>
      <c r="Q108" s="9" t="str">
        <f t="shared" si="15"/>
        <v/>
      </c>
    </row>
    <row r="109" spans="1:17" x14ac:dyDescent="0.3">
      <c r="A109" s="8" t="s">
        <v>28</v>
      </c>
      <c r="B109" s="7">
        <v>8</v>
      </c>
      <c r="C109" s="3">
        <v>13</v>
      </c>
      <c r="D109" s="1">
        <v>7.3400000000000002E-3</v>
      </c>
      <c r="E109" s="2"/>
      <c r="F109" s="1">
        <v>5.6600000000000001E-3</v>
      </c>
      <c r="G109" s="2"/>
      <c r="H109" s="1">
        <v>5.1799999999999997E-3</v>
      </c>
      <c r="I109" s="2"/>
      <c r="J109" s="7" t="str">
        <f t="shared" si="8"/>
        <v/>
      </c>
      <c r="K109" s="3" t="str">
        <f t="shared" si="9"/>
        <v/>
      </c>
      <c r="L109" s="1" t="str">
        <f t="shared" si="10"/>
        <v/>
      </c>
      <c r="M109" s="9" t="str">
        <f t="shared" si="11"/>
        <v/>
      </c>
      <c r="N109" s="1" t="str">
        <f t="shared" si="12"/>
        <v/>
      </c>
      <c r="O109" s="9" t="str">
        <f t="shared" si="13"/>
        <v/>
      </c>
      <c r="P109" s="1" t="str">
        <f t="shared" si="14"/>
        <v/>
      </c>
      <c r="Q109" s="9" t="str">
        <f t="shared" si="15"/>
        <v/>
      </c>
    </row>
    <row r="110" spans="1:17" x14ac:dyDescent="0.3">
      <c r="A110" s="8" t="s">
        <v>28</v>
      </c>
      <c r="B110" s="7">
        <v>9</v>
      </c>
      <c r="C110" s="3">
        <v>14</v>
      </c>
      <c r="D110" s="1">
        <v>6.8100000000000001E-3</v>
      </c>
      <c r="E110" s="2"/>
      <c r="F110" s="1">
        <v>5.2599999999999999E-3</v>
      </c>
      <c r="G110" s="2"/>
      <c r="H110" s="1">
        <v>4.81E-3</v>
      </c>
      <c r="I110" s="2"/>
      <c r="J110" s="7" t="str">
        <f t="shared" si="8"/>
        <v/>
      </c>
      <c r="K110" s="3" t="str">
        <f t="shared" si="9"/>
        <v/>
      </c>
      <c r="L110" s="1" t="str">
        <f t="shared" si="10"/>
        <v/>
      </c>
      <c r="M110" s="9" t="str">
        <f t="shared" si="11"/>
        <v/>
      </c>
      <c r="N110" s="1" t="str">
        <f t="shared" si="12"/>
        <v/>
      </c>
      <c r="O110" s="9" t="str">
        <f t="shared" si="13"/>
        <v/>
      </c>
      <c r="P110" s="1" t="str">
        <f t="shared" si="14"/>
        <v/>
      </c>
      <c r="Q110" s="9" t="str">
        <f t="shared" si="15"/>
        <v/>
      </c>
    </row>
    <row r="111" spans="1:17" x14ac:dyDescent="0.3">
      <c r="A111" s="8" t="s">
        <v>28</v>
      </c>
      <c r="B111" s="7">
        <v>10</v>
      </c>
      <c r="C111" s="3">
        <v>15</v>
      </c>
      <c r="D111" s="1">
        <v>6.3600000000000002E-3</v>
      </c>
      <c r="E111" s="2"/>
      <c r="F111" s="1">
        <v>4.9100000000000003E-3</v>
      </c>
      <c r="G111" s="2"/>
      <c r="H111" s="1">
        <v>4.4900000000000001E-3</v>
      </c>
      <c r="I111" s="2"/>
      <c r="J111" s="7" t="str">
        <f t="shared" si="8"/>
        <v/>
      </c>
      <c r="K111" s="3" t="str">
        <f t="shared" si="9"/>
        <v/>
      </c>
      <c r="L111" s="1" t="str">
        <f t="shared" si="10"/>
        <v/>
      </c>
      <c r="M111" s="9" t="str">
        <f t="shared" si="11"/>
        <v/>
      </c>
      <c r="N111" s="1" t="str">
        <f t="shared" si="12"/>
        <v/>
      </c>
      <c r="O111" s="9" t="str">
        <f t="shared" si="13"/>
        <v/>
      </c>
      <c r="P111" s="1" t="str">
        <f t="shared" si="14"/>
        <v/>
      </c>
      <c r="Q111" s="9" t="str">
        <f t="shared" si="15"/>
        <v/>
      </c>
    </row>
    <row r="112" spans="1:17" x14ac:dyDescent="0.3">
      <c r="A112" s="8" t="s">
        <v>28</v>
      </c>
      <c r="B112" s="7">
        <v>11</v>
      </c>
      <c r="C112" s="3">
        <v>17</v>
      </c>
      <c r="D112" s="1">
        <v>5.6100000000000004E-3</v>
      </c>
      <c r="E112" s="2"/>
      <c r="F112" s="1">
        <v>4.3299999999999996E-3</v>
      </c>
      <c r="G112" s="2"/>
      <c r="H112" s="1">
        <v>3.96E-3</v>
      </c>
      <c r="I112" s="2"/>
      <c r="J112" s="7" t="str">
        <f t="shared" si="8"/>
        <v/>
      </c>
      <c r="K112" s="3" t="str">
        <f t="shared" si="9"/>
        <v/>
      </c>
      <c r="L112" s="1" t="str">
        <f t="shared" si="10"/>
        <v/>
      </c>
      <c r="M112" s="9" t="str">
        <f t="shared" si="11"/>
        <v/>
      </c>
      <c r="N112" s="1" t="str">
        <f t="shared" si="12"/>
        <v/>
      </c>
      <c r="O112" s="9" t="str">
        <f t="shared" si="13"/>
        <v/>
      </c>
      <c r="P112" s="1" t="str">
        <f t="shared" si="14"/>
        <v/>
      </c>
      <c r="Q112" s="9" t="str">
        <f t="shared" si="15"/>
        <v/>
      </c>
    </row>
    <row r="113" spans="1:17" x14ac:dyDescent="0.3">
      <c r="A113" s="8" t="s">
        <v>28</v>
      </c>
      <c r="B113" s="7">
        <v>12</v>
      </c>
      <c r="C113" s="3">
        <v>20</v>
      </c>
      <c r="D113" s="1">
        <v>4.7699999999999999E-3</v>
      </c>
      <c r="E113" s="2"/>
      <c r="F113" s="1">
        <v>3.6800000000000001E-3</v>
      </c>
      <c r="G113" s="2"/>
      <c r="H113" s="1">
        <v>3.3700000000000002E-3</v>
      </c>
      <c r="I113" s="2"/>
      <c r="J113" s="7" t="str">
        <f t="shared" si="8"/>
        <v/>
      </c>
      <c r="K113" s="3" t="str">
        <f t="shared" si="9"/>
        <v/>
      </c>
      <c r="L113" s="1" t="str">
        <f t="shared" si="10"/>
        <v/>
      </c>
      <c r="M113" s="9" t="str">
        <f t="shared" si="11"/>
        <v/>
      </c>
      <c r="N113" s="1" t="str">
        <f t="shared" si="12"/>
        <v/>
      </c>
      <c r="O113" s="9" t="str">
        <f t="shared" si="13"/>
        <v/>
      </c>
      <c r="P113" s="1" t="str">
        <f t="shared" si="14"/>
        <v/>
      </c>
      <c r="Q113" s="9" t="str">
        <f t="shared" si="15"/>
        <v/>
      </c>
    </row>
    <row r="114" spans="1:17" x14ac:dyDescent="0.3">
      <c r="A114" s="8" t="s">
        <v>29</v>
      </c>
      <c r="B114" s="7">
        <v>1</v>
      </c>
      <c r="C114" s="3">
        <v>1</v>
      </c>
      <c r="D114" s="1">
        <v>9.5399999999999999E-2</v>
      </c>
      <c r="E114" s="2"/>
      <c r="F114" s="1">
        <v>7.3599999999999999E-2</v>
      </c>
      <c r="G114" s="2"/>
      <c r="H114" s="1">
        <v>6.7299999999999999E-2</v>
      </c>
      <c r="I114" s="2"/>
      <c r="J114" s="7" t="str">
        <f t="shared" si="8"/>
        <v/>
      </c>
      <c r="K114" s="3" t="str">
        <f t="shared" si="9"/>
        <v/>
      </c>
      <c r="L114" s="1" t="str">
        <f t="shared" si="10"/>
        <v/>
      </c>
      <c r="M114" s="9" t="str">
        <f t="shared" si="11"/>
        <v/>
      </c>
      <c r="N114" s="1" t="str">
        <f t="shared" si="12"/>
        <v/>
      </c>
      <c r="O114" s="9" t="str">
        <f t="shared" si="13"/>
        <v/>
      </c>
      <c r="P114" s="1" t="str">
        <f t="shared" si="14"/>
        <v/>
      </c>
      <c r="Q114" s="9" t="str">
        <f t="shared" si="15"/>
        <v/>
      </c>
    </row>
    <row r="115" spans="1:17" x14ac:dyDescent="0.3">
      <c r="A115" s="8" t="s">
        <v>29</v>
      </c>
      <c r="B115" s="7">
        <v>2</v>
      </c>
      <c r="C115" s="3">
        <v>99</v>
      </c>
      <c r="D115" s="1">
        <v>9.6299999999999999E-4</v>
      </c>
      <c r="E115" s="2"/>
      <c r="F115" s="1">
        <v>7.4299999999999995E-4</v>
      </c>
      <c r="G115" s="2"/>
      <c r="H115" s="1">
        <v>6.7900000000000002E-4</v>
      </c>
      <c r="I115" s="2"/>
      <c r="J115" s="7" t="str">
        <f t="shared" si="8"/>
        <v/>
      </c>
      <c r="K115" s="3" t="str">
        <f t="shared" si="9"/>
        <v/>
      </c>
      <c r="L115" s="1" t="str">
        <f t="shared" si="10"/>
        <v/>
      </c>
      <c r="M115" s="9" t="str">
        <f t="shared" si="11"/>
        <v/>
      </c>
      <c r="N115" s="1" t="str">
        <f t="shared" si="12"/>
        <v/>
      </c>
      <c r="O115" s="9" t="str">
        <f t="shared" si="13"/>
        <v/>
      </c>
      <c r="P115" s="1" t="str">
        <f t="shared" si="14"/>
        <v/>
      </c>
      <c r="Q115" s="9" t="str">
        <f t="shared" si="15"/>
        <v/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5"/>
  <sheetViews>
    <sheetView topLeftCell="F1" workbookViewId="0">
      <selection activeCell="Q1" sqref="Q1"/>
    </sheetView>
  </sheetViews>
  <sheetFormatPr defaultRowHeight="14.4" x14ac:dyDescent="0.3"/>
  <cols>
    <col min="1" max="1" width="10.33203125" bestFit="1" customWidth="1"/>
    <col min="2" max="3" width="8" customWidth="1"/>
    <col min="4" max="4" width="12" customWidth="1"/>
    <col min="5" max="8" width="11" customWidth="1"/>
    <col min="9" max="9" width="9.77734375" bestFit="1" customWidth="1"/>
    <col min="10" max="10" width="15.77734375" bestFit="1" customWidth="1"/>
    <col min="11" max="11" width="17" customWidth="1"/>
    <col min="12" max="12" width="15.77734375" bestFit="1" customWidth="1"/>
    <col min="13" max="13" width="18.6640625" bestFit="1" customWidth="1"/>
    <col min="14" max="16" width="23.5546875" bestFit="1" customWidth="1"/>
    <col min="17" max="17" width="25.33203125" bestFit="1" customWidth="1"/>
  </cols>
  <sheetData>
    <row r="1" spans="1:17" x14ac:dyDescent="0.3">
      <c r="A1" s="8" t="s">
        <v>30</v>
      </c>
      <c r="B1" s="6" t="s">
        <v>42</v>
      </c>
      <c r="C1" s="4" t="s">
        <v>41</v>
      </c>
      <c r="D1" s="6" t="s">
        <v>31</v>
      </c>
      <c r="E1" s="4" t="s">
        <v>3</v>
      </c>
      <c r="F1" s="6" t="s">
        <v>4</v>
      </c>
      <c r="G1" s="4" t="s">
        <v>5</v>
      </c>
      <c r="H1" s="6" t="s">
        <v>6</v>
      </c>
      <c r="I1" s="4" t="s">
        <v>7</v>
      </c>
      <c r="J1" s="6" t="s">
        <v>33</v>
      </c>
      <c r="K1" s="4" t="s">
        <v>34</v>
      </c>
      <c r="L1" s="6" t="s">
        <v>35</v>
      </c>
      <c r="M1" s="4" t="s">
        <v>36</v>
      </c>
      <c r="N1" s="6" t="s">
        <v>37</v>
      </c>
      <c r="O1" s="4" t="s">
        <v>38</v>
      </c>
      <c r="P1" s="6" t="s">
        <v>39</v>
      </c>
      <c r="Q1" s="4" t="s">
        <v>40</v>
      </c>
    </row>
    <row r="2" spans="1:17" x14ac:dyDescent="0.3">
      <c r="A2" s="8" t="s">
        <v>8</v>
      </c>
      <c r="B2" s="7" t="s">
        <v>43</v>
      </c>
      <c r="C2" s="3">
        <v>99</v>
      </c>
      <c r="D2" s="1">
        <v>1.43E-5</v>
      </c>
      <c r="E2" s="9">
        <v>1.45E-5</v>
      </c>
      <c r="F2" s="1">
        <v>2.27E-5</v>
      </c>
      <c r="G2" s="9">
        <v>2.27E-5</v>
      </c>
      <c r="H2" s="1">
        <v>2.4600000000000002E-5</v>
      </c>
      <c r="I2" s="9">
        <v>2.4700000000000001E-5</v>
      </c>
      <c r="J2" s="7">
        <f>IF(OR(D2="",E2="",E2=0),"",100*ABS(D2-E2)/ABS(E2))</f>
        <v>1.3793103448275847</v>
      </c>
      <c r="K2" s="3">
        <f>IF(OR(F2="",G2="",G2=0),"",100*ABS(F2-G2)/ABS(G2))</f>
        <v>0</v>
      </c>
      <c r="L2" s="1">
        <f>IF(OR(H2="",I2="",I2=0),"",100*ABS(H2-I2)/ABS(I2))</f>
        <v>0.4048582995951378</v>
      </c>
      <c r="M2" s="9">
        <f>IFERROR(AVERAGE(J2:L2),"")</f>
        <v>0.59472288147424079</v>
      </c>
      <c r="N2" s="1">
        <f>IF(OR(D2="",E2="",E2=0),"",100*(D2-E2)/E2)</f>
        <v>-1.3793103448275847</v>
      </c>
      <c r="O2" s="9">
        <f>IF(OR(F2="",G2="",G2=0),"",100*(F2-G2)/G2)</f>
        <v>0</v>
      </c>
      <c r="P2" s="1">
        <f>IF(OR(H2="",I2="",I2=0),"",100*(H2-I2)/I2)</f>
        <v>-0.4048582995951378</v>
      </c>
      <c r="Q2" s="9">
        <f>IFERROR(AVERAGE(N2:P2),"")</f>
        <v>-0.59472288147424079</v>
      </c>
    </row>
    <row r="3" spans="1:17" x14ac:dyDescent="0.3">
      <c r="A3" s="8" t="s">
        <v>9</v>
      </c>
      <c r="B3" s="7" t="s">
        <v>43</v>
      </c>
      <c r="C3" s="3">
        <v>4</v>
      </c>
      <c r="D3" s="1">
        <v>3.5500000000000001E-4</v>
      </c>
      <c r="E3" s="9">
        <v>3.59E-4</v>
      </c>
      <c r="F3" s="1">
        <v>5.62E-4</v>
      </c>
      <c r="G3" s="9">
        <v>5.62E-4</v>
      </c>
      <c r="H3" s="1">
        <v>6.11E-4</v>
      </c>
      <c r="I3" s="9">
        <v>6.11E-4</v>
      </c>
      <c r="J3" s="7">
        <f t="shared" ref="J3:J66" si="0">IF(OR(D3="",E3="",E3=0),"",100*ABS(D3-E3)/ABS(E3))</f>
        <v>1.1142061281337017</v>
      </c>
      <c r="K3" s="3">
        <f t="shared" ref="K3:K66" si="1">IF(OR(F3="",G3="",G3=0),"",100*ABS(F3-G3)/ABS(G3))</f>
        <v>0</v>
      </c>
      <c r="L3" s="1">
        <f t="shared" ref="L3:L66" si="2">IF(OR(H3="",I3="",I3=0),"",100*ABS(H3-I3)/ABS(I3))</f>
        <v>0</v>
      </c>
      <c r="M3" s="9">
        <f t="shared" ref="M3:M66" si="3">IFERROR(AVERAGE(J3:L3),"")</f>
        <v>0.37140204271123389</v>
      </c>
      <c r="N3" s="1">
        <f t="shared" ref="N3:N66" si="4">IF(OR(D3="",E3="",E3=0),"",100*(D3-E3)/E3)</f>
        <v>-1.1142061281337017</v>
      </c>
      <c r="O3" s="9">
        <f t="shared" ref="O3:O66" si="5">IF(OR(F3="",G3="",G3=0),"",100*(F3-G3)/G3)</f>
        <v>0</v>
      </c>
      <c r="P3" s="1">
        <f t="shared" ref="P3:P66" si="6">IF(OR(H3="",I3="",I3=0),"",100*(H3-I3)/I3)</f>
        <v>0</v>
      </c>
      <c r="Q3" s="9">
        <f t="shared" ref="Q3:Q66" si="7">IFERROR(AVERAGE(N3:P3),"")</f>
        <v>-0.37140204271123389</v>
      </c>
    </row>
    <row r="4" spans="1:17" x14ac:dyDescent="0.3">
      <c r="A4" s="8" t="s">
        <v>10</v>
      </c>
      <c r="B4" s="7" t="s">
        <v>43</v>
      </c>
      <c r="C4" s="3">
        <v>8</v>
      </c>
      <c r="D4" s="1">
        <v>1.7699999999999999E-4</v>
      </c>
      <c r="E4" s="9">
        <v>1.7799999999999999E-4</v>
      </c>
      <c r="F4" s="1">
        <v>2.81E-4</v>
      </c>
      <c r="G4" s="9">
        <v>2.81E-4</v>
      </c>
      <c r="H4" s="1">
        <v>3.0499999999999999E-4</v>
      </c>
      <c r="I4" s="9">
        <v>3.0499999999999999E-4</v>
      </c>
      <c r="J4" s="7">
        <f t="shared" si="0"/>
        <v>0.56179775280898725</v>
      </c>
      <c r="K4" s="3">
        <f t="shared" si="1"/>
        <v>0</v>
      </c>
      <c r="L4" s="1">
        <f t="shared" si="2"/>
        <v>0</v>
      </c>
      <c r="M4" s="9">
        <f t="shared" si="3"/>
        <v>0.18726591760299574</v>
      </c>
      <c r="N4" s="1">
        <f t="shared" si="4"/>
        <v>-0.56179775280898725</v>
      </c>
      <c r="O4" s="9">
        <f t="shared" si="5"/>
        <v>0</v>
      </c>
      <c r="P4" s="1">
        <f t="shared" si="6"/>
        <v>0</v>
      </c>
      <c r="Q4" s="9">
        <f t="shared" si="7"/>
        <v>-0.18726591760299574</v>
      </c>
    </row>
    <row r="5" spans="1:17" x14ac:dyDescent="0.3">
      <c r="A5" s="8" t="s">
        <v>11</v>
      </c>
      <c r="B5" s="7" t="s">
        <v>43</v>
      </c>
      <c r="C5" s="3">
        <v>12</v>
      </c>
      <c r="D5" s="1">
        <v>1.18E-4</v>
      </c>
      <c r="E5" s="9">
        <v>1.1900000000000001E-4</v>
      </c>
      <c r="F5" s="1">
        <v>1.8699999999999999E-4</v>
      </c>
      <c r="G5" s="9">
        <v>1.8699999999999999E-4</v>
      </c>
      <c r="H5" s="1">
        <v>2.0799999999999999E-4</v>
      </c>
      <c r="I5" s="9">
        <v>2.03E-4</v>
      </c>
      <c r="J5" s="7">
        <f t="shared" si="0"/>
        <v>0.84033613445379052</v>
      </c>
      <c r="K5" s="3">
        <f t="shared" si="1"/>
        <v>0</v>
      </c>
      <c r="L5" s="1">
        <f t="shared" si="2"/>
        <v>2.4630541871921112</v>
      </c>
      <c r="M5" s="9">
        <f t="shared" si="3"/>
        <v>1.1011301072153006</v>
      </c>
      <c r="N5" s="1">
        <f t="shared" si="4"/>
        <v>-0.84033613445379052</v>
      </c>
      <c r="O5" s="9">
        <f t="shared" si="5"/>
        <v>0</v>
      </c>
      <c r="P5" s="1">
        <f t="shared" si="6"/>
        <v>2.4630541871921112</v>
      </c>
      <c r="Q5" s="9">
        <f t="shared" si="7"/>
        <v>0.54090601757944023</v>
      </c>
    </row>
    <row r="6" spans="1:17" x14ac:dyDescent="0.3">
      <c r="A6" s="8" t="s">
        <v>12</v>
      </c>
      <c r="B6" s="7" t="s">
        <v>43</v>
      </c>
      <c r="C6" s="3">
        <v>16</v>
      </c>
      <c r="D6" s="1">
        <v>8.7999999999999998E-5</v>
      </c>
      <c r="E6" s="9">
        <v>8.8999999999999995E-5</v>
      </c>
      <c r="F6" s="1">
        <v>1.3999999999999999E-4</v>
      </c>
      <c r="G6" s="9">
        <v>1.3999999999999999E-4</v>
      </c>
      <c r="H6" s="1">
        <v>1.5200000000000001E-4</v>
      </c>
      <c r="I6" s="9">
        <v>1.5200000000000001E-4</v>
      </c>
      <c r="J6" s="7">
        <f t="shared" si="0"/>
        <v>1.1235955056179745</v>
      </c>
      <c r="K6" s="3">
        <f t="shared" si="1"/>
        <v>0</v>
      </c>
      <c r="L6" s="1">
        <f t="shared" si="2"/>
        <v>0</v>
      </c>
      <c r="M6" s="9">
        <f t="shared" si="3"/>
        <v>0.37453183520599148</v>
      </c>
      <c r="N6" s="1">
        <f t="shared" si="4"/>
        <v>-1.1235955056179745</v>
      </c>
      <c r="O6" s="9">
        <f t="shared" si="5"/>
        <v>0</v>
      </c>
      <c r="P6" s="1">
        <f t="shared" si="6"/>
        <v>0</v>
      </c>
      <c r="Q6" s="9">
        <f t="shared" si="7"/>
        <v>-0.37453183520599148</v>
      </c>
    </row>
    <row r="7" spans="1:17" x14ac:dyDescent="0.3">
      <c r="A7" s="8" t="s">
        <v>13</v>
      </c>
      <c r="B7" s="7" t="s">
        <v>43</v>
      </c>
      <c r="C7" s="3">
        <v>20</v>
      </c>
      <c r="D7" s="1">
        <v>7.1000000000000005E-5</v>
      </c>
      <c r="E7" s="9">
        <v>7.1000000000000005E-5</v>
      </c>
      <c r="F7" s="1">
        <v>1.12E-4</v>
      </c>
      <c r="G7" s="9">
        <v>1.12E-4</v>
      </c>
      <c r="H7" s="1">
        <v>1.22E-4</v>
      </c>
      <c r="I7" s="9">
        <v>1.22E-4</v>
      </c>
      <c r="J7" s="7">
        <f t="shared" si="0"/>
        <v>0</v>
      </c>
      <c r="K7" s="3">
        <f t="shared" si="1"/>
        <v>0</v>
      </c>
      <c r="L7" s="1">
        <f t="shared" si="2"/>
        <v>0</v>
      </c>
      <c r="M7" s="9">
        <f t="shared" si="3"/>
        <v>0</v>
      </c>
      <c r="N7" s="1">
        <f t="shared" si="4"/>
        <v>0</v>
      </c>
      <c r="O7" s="9">
        <f t="shared" si="5"/>
        <v>0</v>
      </c>
      <c r="P7" s="1">
        <f t="shared" si="6"/>
        <v>0</v>
      </c>
      <c r="Q7" s="9">
        <f t="shared" si="7"/>
        <v>0</v>
      </c>
    </row>
    <row r="8" spans="1:17" x14ac:dyDescent="0.3">
      <c r="A8" s="8" t="s">
        <v>14</v>
      </c>
      <c r="B8" s="7">
        <v>1</v>
      </c>
      <c r="C8" s="3">
        <v>13</v>
      </c>
      <c r="D8" s="1">
        <v>1.0900000000000001E-4</v>
      </c>
      <c r="E8" s="9">
        <v>1.1E-4</v>
      </c>
      <c r="F8" s="1">
        <v>1.7200000000000001E-4</v>
      </c>
      <c r="G8" s="9">
        <v>1.73E-4</v>
      </c>
      <c r="H8" s="1">
        <v>1.8799999999999999E-4</v>
      </c>
      <c r="I8" s="9">
        <v>1.8799999999999999E-4</v>
      </c>
      <c r="J8" s="7">
        <f t="shared" si="0"/>
        <v>0.90909090909090651</v>
      </c>
      <c r="K8" s="3">
        <f t="shared" si="1"/>
        <v>0.57803468208092323</v>
      </c>
      <c r="L8" s="1">
        <f t="shared" si="2"/>
        <v>0</v>
      </c>
      <c r="M8" s="9">
        <f t="shared" si="3"/>
        <v>0.49570853039060991</v>
      </c>
      <c r="N8" s="1">
        <f t="shared" si="4"/>
        <v>-0.90909090909090651</v>
      </c>
      <c r="O8" s="9">
        <f t="shared" si="5"/>
        <v>-0.57803468208092323</v>
      </c>
      <c r="P8" s="1">
        <f t="shared" si="6"/>
        <v>0</v>
      </c>
      <c r="Q8" s="9">
        <f t="shared" si="7"/>
        <v>-0.49570853039060991</v>
      </c>
    </row>
    <row r="9" spans="1:17" x14ac:dyDescent="0.3">
      <c r="A9" s="8" t="s">
        <v>14</v>
      </c>
      <c r="B9" s="7">
        <v>2</v>
      </c>
      <c r="C9" s="3">
        <v>14</v>
      </c>
      <c r="D9" s="1">
        <v>1.01E-4</v>
      </c>
      <c r="E9" s="9">
        <v>1.02E-4</v>
      </c>
      <c r="F9" s="1">
        <v>1.6000000000000001E-4</v>
      </c>
      <c r="G9" s="9">
        <v>1.6000000000000001E-4</v>
      </c>
      <c r="H9" s="1">
        <v>1.74E-4</v>
      </c>
      <c r="I9" s="9">
        <v>1.74E-4</v>
      </c>
      <c r="J9" s="7">
        <f t="shared" si="0"/>
        <v>0.98039215686274239</v>
      </c>
      <c r="K9" s="3">
        <f t="shared" si="1"/>
        <v>0</v>
      </c>
      <c r="L9" s="1">
        <f t="shared" si="2"/>
        <v>0</v>
      </c>
      <c r="M9" s="9">
        <f t="shared" si="3"/>
        <v>0.32679738562091415</v>
      </c>
      <c r="N9" s="1">
        <f t="shared" si="4"/>
        <v>-0.98039215686274239</v>
      </c>
      <c r="O9" s="9">
        <f t="shared" si="5"/>
        <v>0</v>
      </c>
      <c r="P9" s="1">
        <f t="shared" si="6"/>
        <v>0</v>
      </c>
      <c r="Q9" s="9">
        <f t="shared" si="7"/>
        <v>-0.32679738562091415</v>
      </c>
    </row>
    <row r="10" spans="1:17" x14ac:dyDescent="0.3">
      <c r="A10" s="8" t="s">
        <v>14</v>
      </c>
      <c r="B10" s="7">
        <v>3</v>
      </c>
      <c r="C10" s="3">
        <v>15</v>
      </c>
      <c r="D10" s="1">
        <v>9.3999999999999994E-5</v>
      </c>
      <c r="E10" s="9">
        <v>9.5000000000000005E-5</v>
      </c>
      <c r="F10" s="1">
        <v>1.4899999999999999E-4</v>
      </c>
      <c r="G10" s="9">
        <v>1.4899999999999999E-4</v>
      </c>
      <c r="H10" s="1">
        <v>1.63E-4</v>
      </c>
      <c r="I10" s="9">
        <v>1.6200000000000001E-4</v>
      </c>
      <c r="J10" s="7">
        <f t="shared" si="0"/>
        <v>1.0526315789473797</v>
      </c>
      <c r="K10" s="3">
        <f t="shared" si="1"/>
        <v>0</v>
      </c>
      <c r="L10" s="1">
        <f t="shared" si="2"/>
        <v>0.61728395061728214</v>
      </c>
      <c r="M10" s="9">
        <f t="shared" si="3"/>
        <v>0.55663850985488728</v>
      </c>
      <c r="N10" s="1">
        <f t="shared" si="4"/>
        <v>-1.0526315789473797</v>
      </c>
      <c r="O10" s="9">
        <f t="shared" si="5"/>
        <v>0</v>
      </c>
      <c r="P10" s="1">
        <f t="shared" si="6"/>
        <v>0.61728395061728214</v>
      </c>
      <c r="Q10" s="9">
        <f t="shared" si="7"/>
        <v>-0.14511587611003252</v>
      </c>
    </row>
    <row r="11" spans="1:17" x14ac:dyDescent="0.3">
      <c r="A11" s="8" t="s">
        <v>14</v>
      </c>
      <c r="B11" s="7">
        <v>4</v>
      </c>
      <c r="C11" s="3">
        <v>16</v>
      </c>
      <c r="D11" s="1">
        <v>8.7999999999999998E-5</v>
      </c>
      <c r="E11" s="9">
        <v>8.8999999999999995E-5</v>
      </c>
      <c r="F11" s="1">
        <v>1.3999999999999999E-4</v>
      </c>
      <c r="G11" s="9">
        <v>1.3999999999999999E-4</v>
      </c>
      <c r="H11" s="1">
        <v>1.5200000000000001E-4</v>
      </c>
      <c r="I11" s="9">
        <v>1.5300000000000001E-4</v>
      </c>
      <c r="J11" s="7">
        <f t="shared" si="0"/>
        <v>1.1235955056179745</v>
      </c>
      <c r="K11" s="3">
        <f t="shared" si="1"/>
        <v>0</v>
      </c>
      <c r="L11" s="1">
        <f t="shared" si="2"/>
        <v>0.65359477124182819</v>
      </c>
      <c r="M11" s="9">
        <f t="shared" si="3"/>
        <v>0.5923967589532676</v>
      </c>
      <c r="N11" s="1">
        <f t="shared" si="4"/>
        <v>-1.1235955056179745</v>
      </c>
      <c r="O11" s="9">
        <f t="shared" si="5"/>
        <v>0</v>
      </c>
      <c r="P11" s="1">
        <f t="shared" si="6"/>
        <v>-0.65359477124182819</v>
      </c>
      <c r="Q11" s="9">
        <f t="shared" si="7"/>
        <v>-0.5923967589532676</v>
      </c>
    </row>
    <row r="12" spans="1:17" x14ac:dyDescent="0.3">
      <c r="A12" s="8" t="s">
        <v>14</v>
      </c>
      <c r="B12" s="7">
        <v>5</v>
      </c>
      <c r="C12" s="3">
        <v>17</v>
      </c>
      <c r="D12" s="1">
        <v>8.2999999999999998E-5</v>
      </c>
      <c r="E12" s="9">
        <v>8.3999999999999995E-5</v>
      </c>
      <c r="F12" s="1">
        <v>1.3200000000000001E-4</v>
      </c>
      <c r="G12" s="9">
        <v>1.3100000000000001E-4</v>
      </c>
      <c r="H12" s="1">
        <v>1.4300000000000001E-4</v>
      </c>
      <c r="I12" s="9">
        <v>1.4300000000000001E-4</v>
      </c>
      <c r="J12" s="7">
        <f t="shared" si="0"/>
        <v>1.1904761904761871</v>
      </c>
      <c r="K12" s="3">
        <f t="shared" si="1"/>
        <v>0.76335877862595203</v>
      </c>
      <c r="L12" s="1">
        <f t="shared" si="2"/>
        <v>0</v>
      </c>
      <c r="M12" s="9">
        <f t="shared" si="3"/>
        <v>0.65127832303404631</v>
      </c>
      <c r="N12" s="1">
        <f t="shared" si="4"/>
        <v>-1.1904761904761871</v>
      </c>
      <c r="O12" s="9">
        <f t="shared" si="5"/>
        <v>0.76335877862595203</v>
      </c>
      <c r="P12" s="1">
        <f t="shared" si="6"/>
        <v>0</v>
      </c>
      <c r="Q12" s="9">
        <f t="shared" si="7"/>
        <v>-0.14237247061674504</v>
      </c>
    </row>
    <row r="13" spans="1:17" x14ac:dyDescent="0.3">
      <c r="A13" s="8" t="s">
        <v>14</v>
      </c>
      <c r="B13" s="7">
        <v>6</v>
      </c>
      <c r="C13" s="3">
        <v>18</v>
      </c>
      <c r="D13" s="1">
        <v>7.8999999999999996E-5</v>
      </c>
      <c r="E13" s="9">
        <v>7.8999999999999996E-5</v>
      </c>
      <c r="F13" s="1">
        <v>1.2400000000000001E-4</v>
      </c>
      <c r="G13" s="9">
        <v>1.2400000000000001E-4</v>
      </c>
      <c r="H13" s="1">
        <v>1.35E-4</v>
      </c>
      <c r="I13" s="9">
        <v>1.35E-4</v>
      </c>
      <c r="J13" s="7">
        <f t="shared" si="0"/>
        <v>0</v>
      </c>
      <c r="K13" s="3">
        <f t="shared" si="1"/>
        <v>0</v>
      </c>
      <c r="L13" s="1">
        <f t="shared" si="2"/>
        <v>0</v>
      </c>
      <c r="M13" s="9">
        <f t="shared" si="3"/>
        <v>0</v>
      </c>
      <c r="N13" s="1">
        <f t="shared" si="4"/>
        <v>0</v>
      </c>
      <c r="O13" s="9">
        <f t="shared" si="5"/>
        <v>0</v>
      </c>
      <c r="P13" s="1">
        <f t="shared" si="6"/>
        <v>0</v>
      </c>
      <c r="Q13" s="9">
        <f t="shared" si="7"/>
        <v>0</v>
      </c>
    </row>
    <row r="14" spans="1:17" x14ac:dyDescent="0.3">
      <c r="A14" s="8" t="s">
        <v>14</v>
      </c>
      <c r="B14" s="7">
        <v>7</v>
      </c>
      <c r="C14" s="3">
        <v>19</v>
      </c>
      <c r="D14" s="1">
        <v>7.3999999999999996E-5</v>
      </c>
      <c r="E14" s="9">
        <v>7.4999999999999993E-5</v>
      </c>
      <c r="F14" s="1">
        <v>1.18E-4</v>
      </c>
      <c r="G14" s="9">
        <v>1.18E-4</v>
      </c>
      <c r="H14" s="1">
        <v>1.2799999999999999E-4</v>
      </c>
      <c r="I14" s="9">
        <v>1.2799999999999999E-4</v>
      </c>
      <c r="J14" s="7">
        <f t="shared" si="0"/>
        <v>1.3333333333333297</v>
      </c>
      <c r="K14" s="3">
        <f t="shared" si="1"/>
        <v>0</v>
      </c>
      <c r="L14" s="1">
        <f t="shared" si="2"/>
        <v>0</v>
      </c>
      <c r="M14" s="9">
        <f t="shared" si="3"/>
        <v>0.44444444444444325</v>
      </c>
      <c r="N14" s="1">
        <f t="shared" si="4"/>
        <v>-1.3333333333333297</v>
      </c>
      <c r="O14" s="9">
        <f t="shared" si="5"/>
        <v>0</v>
      </c>
      <c r="P14" s="1">
        <f t="shared" si="6"/>
        <v>0</v>
      </c>
      <c r="Q14" s="9">
        <f t="shared" si="7"/>
        <v>-0.44444444444444325</v>
      </c>
    </row>
    <row r="15" spans="1:17" x14ac:dyDescent="0.3">
      <c r="A15" s="8" t="s">
        <v>14</v>
      </c>
      <c r="B15" s="7">
        <v>8</v>
      </c>
      <c r="C15" s="3">
        <v>20</v>
      </c>
      <c r="D15" s="1">
        <v>7.1000000000000005E-5</v>
      </c>
      <c r="E15" s="9">
        <v>7.1000000000000005E-5</v>
      </c>
      <c r="F15" s="1">
        <v>1.12E-4</v>
      </c>
      <c r="G15" s="9">
        <v>1.12E-4</v>
      </c>
      <c r="H15" s="1">
        <v>1.22E-4</v>
      </c>
      <c r="I15" s="9">
        <v>1.22E-4</v>
      </c>
      <c r="J15" s="7">
        <f t="shared" si="0"/>
        <v>0</v>
      </c>
      <c r="K15" s="3">
        <f t="shared" si="1"/>
        <v>0</v>
      </c>
      <c r="L15" s="1">
        <f t="shared" si="2"/>
        <v>0</v>
      </c>
      <c r="M15" s="9">
        <f t="shared" si="3"/>
        <v>0</v>
      </c>
      <c r="N15" s="1">
        <f t="shared" si="4"/>
        <v>0</v>
      </c>
      <c r="O15" s="9">
        <f t="shared" si="5"/>
        <v>0</v>
      </c>
      <c r="P15" s="1">
        <f t="shared" si="6"/>
        <v>0</v>
      </c>
      <c r="Q15" s="9">
        <f t="shared" si="7"/>
        <v>0</v>
      </c>
    </row>
    <row r="16" spans="1:17" x14ac:dyDescent="0.3">
      <c r="A16" s="8" t="s">
        <v>15</v>
      </c>
      <c r="B16" s="7">
        <v>1</v>
      </c>
      <c r="C16" s="3">
        <v>11</v>
      </c>
      <c r="D16" s="1">
        <v>1.2899999999999999E-4</v>
      </c>
      <c r="E16" s="9">
        <v>1.2999999999999999E-4</v>
      </c>
      <c r="F16" s="1">
        <v>2.04E-4</v>
      </c>
      <c r="G16" s="9">
        <v>2.05E-4</v>
      </c>
      <c r="H16" s="1">
        <v>2.22E-4</v>
      </c>
      <c r="I16" s="9">
        <v>2.22E-4</v>
      </c>
      <c r="J16" s="7">
        <f t="shared" si="0"/>
        <v>0.76923076923076716</v>
      </c>
      <c r="K16" s="3">
        <f t="shared" si="1"/>
        <v>0.48780487804877914</v>
      </c>
      <c r="L16" s="1">
        <f t="shared" si="2"/>
        <v>0</v>
      </c>
      <c r="M16" s="9">
        <f t="shared" si="3"/>
        <v>0.41901188242651544</v>
      </c>
      <c r="N16" s="1">
        <f t="shared" si="4"/>
        <v>-0.76923076923076716</v>
      </c>
      <c r="O16" s="9">
        <f t="shared" si="5"/>
        <v>-0.48780487804877914</v>
      </c>
      <c r="P16" s="1">
        <f t="shared" si="6"/>
        <v>0</v>
      </c>
      <c r="Q16" s="9">
        <f t="shared" si="7"/>
        <v>-0.41901188242651544</v>
      </c>
    </row>
    <row r="17" spans="1:17" x14ac:dyDescent="0.3">
      <c r="A17" s="8" t="s">
        <v>15</v>
      </c>
      <c r="B17" s="7">
        <v>2</v>
      </c>
      <c r="C17" s="3">
        <v>12</v>
      </c>
      <c r="D17" s="1">
        <v>1.18E-4</v>
      </c>
      <c r="E17" s="9">
        <v>1.1900000000000001E-4</v>
      </c>
      <c r="F17" s="1">
        <v>1.8699999999999999E-4</v>
      </c>
      <c r="G17" s="9">
        <v>1.8699999999999999E-4</v>
      </c>
      <c r="H17" s="1">
        <v>2.03E-4</v>
      </c>
      <c r="I17" s="9">
        <v>2.03E-4</v>
      </c>
      <c r="J17" s="7">
        <f t="shared" si="0"/>
        <v>0.84033613445379052</v>
      </c>
      <c r="K17" s="3">
        <f t="shared" si="1"/>
        <v>0</v>
      </c>
      <c r="L17" s="1">
        <f t="shared" si="2"/>
        <v>0</v>
      </c>
      <c r="M17" s="9">
        <f t="shared" si="3"/>
        <v>0.28011204481793017</v>
      </c>
      <c r="N17" s="1">
        <f t="shared" si="4"/>
        <v>-0.84033613445379052</v>
      </c>
      <c r="O17" s="9">
        <f t="shared" si="5"/>
        <v>0</v>
      </c>
      <c r="P17" s="1">
        <f t="shared" si="6"/>
        <v>0</v>
      </c>
      <c r="Q17" s="9">
        <f t="shared" si="7"/>
        <v>-0.28011204481793017</v>
      </c>
    </row>
    <row r="18" spans="1:17" x14ac:dyDescent="0.3">
      <c r="A18" s="8" t="s">
        <v>15</v>
      </c>
      <c r="B18" s="7">
        <v>3</v>
      </c>
      <c r="C18" s="3">
        <v>13</v>
      </c>
      <c r="D18" s="1">
        <v>1.0900000000000001E-4</v>
      </c>
      <c r="E18" s="9">
        <v>1.1E-4</v>
      </c>
      <c r="F18" s="1">
        <v>1.73E-4</v>
      </c>
      <c r="G18" s="9">
        <v>1.73E-4</v>
      </c>
      <c r="H18" s="1">
        <v>1.8799999999999999E-4</v>
      </c>
      <c r="I18" s="9">
        <v>1.8699999999999999E-4</v>
      </c>
      <c r="J18" s="7">
        <f t="shared" si="0"/>
        <v>0.90909090909090651</v>
      </c>
      <c r="K18" s="3">
        <f t="shared" si="1"/>
        <v>0</v>
      </c>
      <c r="L18" s="1">
        <f t="shared" si="2"/>
        <v>0.53475935828876853</v>
      </c>
      <c r="M18" s="9">
        <f t="shared" si="3"/>
        <v>0.4812834224598917</v>
      </c>
      <c r="N18" s="1">
        <f t="shared" si="4"/>
        <v>-0.90909090909090651</v>
      </c>
      <c r="O18" s="9">
        <f t="shared" si="5"/>
        <v>0</v>
      </c>
      <c r="P18" s="1">
        <f t="shared" si="6"/>
        <v>0.53475935828876853</v>
      </c>
      <c r="Q18" s="9">
        <f t="shared" si="7"/>
        <v>-0.12477718360071266</v>
      </c>
    </row>
    <row r="19" spans="1:17" x14ac:dyDescent="0.3">
      <c r="A19" s="8" t="s">
        <v>15</v>
      </c>
      <c r="B19" s="7">
        <v>4</v>
      </c>
      <c r="C19" s="3">
        <v>14</v>
      </c>
      <c r="D19" s="1">
        <v>1.01E-4</v>
      </c>
      <c r="E19" s="9">
        <v>1.02E-4</v>
      </c>
      <c r="F19" s="1">
        <v>1.6000000000000001E-4</v>
      </c>
      <c r="G19" s="9">
        <v>1.6000000000000001E-4</v>
      </c>
      <c r="H19" s="1">
        <v>1.74E-4</v>
      </c>
      <c r="I19" s="9">
        <v>1.74E-4</v>
      </c>
      <c r="J19" s="7">
        <f t="shared" si="0"/>
        <v>0.98039215686274239</v>
      </c>
      <c r="K19" s="3">
        <f t="shared" si="1"/>
        <v>0</v>
      </c>
      <c r="L19" s="1">
        <f t="shared" si="2"/>
        <v>0</v>
      </c>
      <c r="M19" s="9">
        <f t="shared" si="3"/>
        <v>0.32679738562091415</v>
      </c>
      <c r="N19" s="1">
        <f t="shared" si="4"/>
        <v>-0.98039215686274239</v>
      </c>
      <c r="O19" s="9">
        <f t="shared" si="5"/>
        <v>0</v>
      </c>
      <c r="P19" s="1">
        <f t="shared" si="6"/>
        <v>0</v>
      </c>
      <c r="Q19" s="9">
        <f t="shared" si="7"/>
        <v>-0.32679738562091415</v>
      </c>
    </row>
    <row r="20" spans="1:17" x14ac:dyDescent="0.3">
      <c r="A20" s="8" t="s">
        <v>15</v>
      </c>
      <c r="B20" s="7">
        <v>5</v>
      </c>
      <c r="C20" s="3">
        <v>15</v>
      </c>
      <c r="D20" s="1">
        <v>9.3999999999999994E-5</v>
      </c>
      <c r="E20" s="9">
        <v>9.5000000000000005E-5</v>
      </c>
      <c r="F20" s="1">
        <v>1.4899999999999999E-4</v>
      </c>
      <c r="G20" s="9">
        <v>1.4899999999999999E-4</v>
      </c>
      <c r="H20" s="1">
        <v>1.63E-4</v>
      </c>
      <c r="I20" s="9">
        <v>1.6200000000000001E-4</v>
      </c>
      <c r="J20" s="7">
        <f t="shared" si="0"/>
        <v>1.0526315789473797</v>
      </c>
      <c r="K20" s="3">
        <f t="shared" si="1"/>
        <v>0</v>
      </c>
      <c r="L20" s="1">
        <f t="shared" si="2"/>
        <v>0.61728395061728214</v>
      </c>
      <c r="M20" s="9">
        <f t="shared" si="3"/>
        <v>0.55663850985488728</v>
      </c>
      <c r="N20" s="1">
        <f t="shared" si="4"/>
        <v>-1.0526315789473797</v>
      </c>
      <c r="O20" s="9">
        <f t="shared" si="5"/>
        <v>0</v>
      </c>
      <c r="P20" s="1">
        <f t="shared" si="6"/>
        <v>0.61728395061728214</v>
      </c>
      <c r="Q20" s="9">
        <f t="shared" si="7"/>
        <v>-0.14511587611003252</v>
      </c>
    </row>
    <row r="21" spans="1:17" x14ac:dyDescent="0.3">
      <c r="A21" s="8" t="s">
        <v>15</v>
      </c>
      <c r="B21" s="7">
        <v>6</v>
      </c>
      <c r="C21" s="3">
        <v>16</v>
      </c>
      <c r="D21" s="1">
        <v>8.7999999999999998E-5</v>
      </c>
      <c r="E21" s="9">
        <v>8.8999999999999995E-5</v>
      </c>
      <c r="F21" s="1">
        <v>1.3999999999999999E-4</v>
      </c>
      <c r="G21" s="9">
        <v>1.3999999999999999E-4</v>
      </c>
      <c r="H21" s="1">
        <v>1.5200000000000001E-4</v>
      </c>
      <c r="I21" s="9">
        <v>1.5200000000000001E-4</v>
      </c>
      <c r="J21" s="7">
        <f t="shared" si="0"/>
        <v>1.1235955056179745</v>
      </c>
      <c r="K21" s="3">
        <f t="shared" si="1"/>
        <v>0</v>
      </c>
      <c r="L21" s="1">
        <f t="shared" si="2"/>
        <v>0</v>
      </c>
      <c r="M21" s="9">
        <f t="shared" si="3"/>
        <v>0.37453183520599148</v>
      </c>
      <c r="N21" s="1">
        <f t="shared" si="4"/>
        <v>-1.1235955056179745</v>
      </c>
      <c r="O21" s="9">
        <f t="shared" si="5"/>
        <v>0</v>
      </c>
      <c r="P21" s="1">
        <f t="shared" si="6"/>
        <v>0</v>
      </c>
      <c r="Q21" s="9">
        <f t="shared" si="7"/>
        <v>-0.37453183520599148</v>
      </c>
    </row>
    <row r="22" spans="1:17" x14ac:dyDescent="0.3">
      <c r="A22" s="8" t="s">
        <v>15</v>
      </c>
      <c r="B22" s="7">
        <v>7</v>
      </c>
      <c r="C22" s="3">
        <v>17</v>
      </c>
      <c r="D22" s="1">
        <v>8.2999999999999998E-5</v>
      </c>
      <c r="E22" s="9">
        <v>8.3999999999999995E-5</v>
      </c>
      <c r="F22" s="1">
        <v>1.3200000000000001E-4</v>
      </c>
      <c r="G22" s="9">
        <v>1.3200000000000001E-4</v>
      </c>
      <c r="H22" s="1">
        <v>1.4300000000000001E-4</v>
      </c>
      <c r="I22" s="9">
        <v>1.4300000000000001E-4</v>
      </c>
      <c r="J22" s="7">
        <f t="shared" si="0"/>
        <v>1.1904761904761871</v>
      </c>
      <c r="K22" s="3">
        <f t="shared" si="1"/>
        <v>0</v>
      </c>
      <c r="L22" s="1">
        <f t="shared" si="2"/>
        <v>0</v>
      </c>
      <c r="M22" s="9">
        <f t="shared" si="3"/>
        <v>0.39682539682539569</v>
      </c>
      <c r="N22" s="1">
        <f t="shared" si="4"/>
        <v>-1.1904761904761871</v>
      </c>
      <c r="O22" s="9">
        <f t="shared" si="5"/>
        <v>0</v>
      </c>
      <c r="P22" s="1">
        <f t="shared" si="6"/>
        <v>0</v>
      </c>
      <c r="Q22" s="9">
        <f t="shared" si="7"/>
        <v>-0.39682539682539569</v>
      </c>
    </row>
    <row r="23" spans="1:17" x14ac:dyDescent="0.3">
      <c r="A23" s="8" t="s">
        <v>16</v>
      </c>
      <c r="B23" s="7">
        <v>1</v>
      </c>
      <c r="C23" s="3">
        <v>9</v>
      </c>
      <c r="D23" s="1">
        <v>1.5799999999999999E-4</v>
      </c>
      <c r="E23" s="9">
        <v>1.5899999999999999E-4</v>
      </c>
      <c r="F23" s="1">
        <v>2.4899999999999998E-4</v>
      </c>
      <c r="G23" s="9">
        <v>2.5000000000000001E-4</v>
      </c>
      <c r="H23" s="1">
        <v>2.7099999999999997E-4</v>
      </c>
      <c r="I23" s="9">
        <v>2.7099999999999997E-4</v>
      </c>
      <c r="J23" s="7">
        <f t="shared" si="0"/>
        <v>0.6289308176100612</v>
      </c>
      <c r="K23" s="3">
        <f t="shared" si="1"/>
        <v>0.40000000000000974</v>
      </c>
      <c r="L23" s="1">
        <f t="shared" si="2"/>
        <v>0</v>
      </c>
      <c r="M23" s="9">
        <f t="shared" si="3"/>
        <v>0.34297693920335698</v>
      </c>
      <c r="N23" s="1">
        <f t="shared" si="4"/>
        <v>-0.6289308176100612</v>
      </c>
      <c r="O23" s="9">
        <f t="shared" si="5"/>
        <v>-0.40000000000000974</v>
      </c>
      <c r="P23" s="1">
        <f t="shared" si="6"/>
        <v>0</v>
      </c>
      <c r="Q23" s="9">
        <f t="shared" si="7"/>
        <v>-0.34297693920335698</v>
      </c>
    </row>
    <row r="24" spans="1:17" x14ac:dyDescent="0.3">
      <c r="A24" s="8" t="s">
        <v>16</v>
      </c>
      <c r="B24" s="7">
        <v>2</v>
      </c>
      <c r="C24" s="3">
        <v>10</v>
      </c>
      <c r="D24" s="1">
        <v>1.4200000000000001E-4</v>
      </c>
      <c r="E24" s="9">
        <v>1.4300000000000001E-4</v>
      </c>
      <c r="F24" s="1">
        <v>2.24E-4</v>
      </c>
      <c r="G24" s="9">
        <v>2.2499999999999999E-4</v>
      </c>
      <c r="H24" s="1">
        <v>2.4399999999999999E-4</v>
      </c>
      <c r="I24" s="9">
        <v>2.4399999999999999E-4</v>
      </c>
      <c r="J24" s="7">
        <f t="shared" si="0"/>
        <v>0.69930069930069727</v>
      </c>
      <c r="K24" s="3">
        <f t="shared" si="1"/>
        <v>0.4444444444444432</v>
      </c>
      <c r="L24" s="1">
        <f t="shared" si="2"/>
        <v>0</v>
      </c>
      <c r="M24" s="9">
        <f t="shared" si="3"/>
        <v>0.38124838124838017</v>
      </c>
      <c r="N24" s="1">
        <f t="shared" si="4"/>
        <v>-0.69930069930069727</v>
      </c>
      <c r="O24" s="9">
        <f t="shared" si="5"/>
        <v>-0.4444444444444432</v>
      </c>
      <c r="P24" s="1">
        <f t="shared" si="6"/>
        <v>0</v>
      </c>
      <c r="Q24" s="9">
        <f t="shared" si="7"/>
        <v>-0.38124838124838017</v>
      </c>
    </row>
    <row r="25" spans="1:17" x14ac:dyDescent="0.3">
      <c r="A25" s="8" t="s">
        <v>16</v>
      </c>
      <c r="B25" s="7">
        <v>3</v>
      </c>
      <c r="C25" s="3">
        <v>11</v>
      </c>
      <c r="D25" s="1">
        <v>1.2899999999999999E-4</v>
      </c>
      <c r="E25" s="9">
        <v>1.2999999999999999E-4</v>
      </c>
      <c r="F25" s="1">
        <v>2.04E-4</v>
      </c>
      <c r="G25" s="9">
        <v>2.05E-4</v>
      </c>
      <c r="H25" s="1">
        <v>2.22E-4</v>
      </c>
      <c r="I25" s="9">
        <v>2.22E-4</v>
      </c>
      <c r="J25" s="7">
        <f t="shared" si="0"/>
        <v>0.76923076923076716</v>
      </c>
      <c r="K25" s="3">
        <f t="shared" si="1"/>
        <v>0.48780487804877914</v>
      </c>
      <c r="L25" s="1">
        <f t="shared" si="2"/>
        <v>0</v>
      </c>
      <c r="M25" s="9">
        <f t="shared" si="3"/>
        <v>0.41901188242651544</v>
      </c>
      <c r="N25" s="1">
        <f t="shared" si="4"/>
        <v>-0.76923076923076716</v>
      </c>
      <c r="O25" s="9">
        <f t="shared" si="5"/>
        <v>-0.48780487804877914</v>
      </c>
      <c r="P25" s="1">
        <f t="shared" si="6"/>
        <v>0</v>
      </c>
      <c r="Q25" s="9">
        <f t="shared" si="7"/>
        <v>-0.41901188242651544</v>
      </c>
    </row>
    <row r="26" spans="1:17" x14ac:dyDescent="0.3">
      <c r="A26" s="8" t="s">
        <v>16</v>
      </c>
      <c r="B26" s="7">
        <v>4</v>
      </c>
      <c r="C26" s="3">
        <v>12</v>
      </c>
      <c r="D26" s="1">
        <v>1.18E-4</v>
      </c>
      <c r="E26" s="9">
        <v>1.1900000000000001E-4</v>
      </c>
      <c r="F26" s="1">
        <v>1.8699999999999999E-4</v>
      </c>
      <c r="G26" s="9">
        <v>1.8699999999999999E-4</v>
      </c>
      <c r="H26" s="1">
        <v>2.03E-4</v>
      </c>
      <c r="I26" s="9">
        <v>2.03E-4</v>
      </c>
      <c r="J26" s="7">
        <f t="shared" si="0"/>
        <v>0.84033613445379052</v>
      </c>
      <c r="K26" s="3">
        <f t="shared" si="1"/>
        <v>0</v>
      </c>
      <c r="L26" s="1">
        <f t="shared" si="2"/>
        <v>0</v>
      </c>
      <c r="M26" s="9">
        <f t="shared" si="3"/>
        <v>0.28011204481793017</v>
      </c>
      <c r="N26" s="1">
        <f t="shared" si="4"/>
        <v>-0.84033613445379052</v>
      </c>
      <c r="O26" s="9">
        <f t="shared" si="5"/>
        <v>0</v>
      </c>
      <c r="P26" s="1">
        <f t="shared" si="6"/>
        <v>0</v>
      </c>
      <c r="Q26" s="9">
        <f t="shared" si="7"/>
        <v>-0.28011204481793017</v>
      </c>
    </row>
    <row r="27" spans="1:17" x14ac:dyDescent="0.3">
      <c r="A27" s="8" t="s">
        <v>16</v>
      </c>
      <c r="B27" s="7">
        <v>5</v>
      </c>
      <c r="C27" s="3">
        <v>13</v>
      </c>
      <c r="D27" s="1">
        <v>1.0900000000000001E-4</v>
      </c>
      <c r="E27" s="9">
        <v>1.1E-4</v>
      </c>
      <c r="F27" s="1">
        <v>1.73E-4</v>
      </c>
      <c r="G27" s="9">
        <v>1.73E-4</v>
      </c>
      <c r="H27" s="1">
        <v>1.8799999999999999E-4</v>
      </c>
      <c r="I27" s="9">
        <v>1.8699999999999999E-4</v>
      </c>
      <c r="J27" s="7">
        <f t="shared" si="0"/>
        <v>0.90909090909090651</v>
      </c>
      <c r="K27" s="3">
        <f t="shared" si="1"/>
        <v>0</v>
      </c>
      <c r="L27" s="1">
        <f t="shared" si="2"/>
        <v>0.53475935828876853</v>
      </c>
      <c r="M27" s="9">
        <f t="shared" si="3"/>
        <v>0.4812834224598917</v>
      </c>
      <c r="N27" s="1">
        <f t="shared" si="4"/>
        <v>-0.90909090909090651</v>
      </c>
      <c r="O27" s="9">
        <f t="shared" si="5"/>
        <v>0</v>
      </c>
      <c r="P27" s="1">
        <f t="shared" si="6"/>
        <v>0.53475935828876853</v>
      </c>
      <c r="Q27" s="9">
        <f t="shared" si="7"/>
        <v>-0.12477718360071266</v>
      </c>
    </row>
    <row r="28" spans="1:17" x14ac:dyDescent="0.3">
      <c r="A28" s="8" t="s">
        <v>16</v>
      </c>
      <c r="B28" s="7">
        <v>6</v>
      </c>
      <c r="C28" s="3">
        <v>14</v>
      </c>
      <c r="D28" s="1">
        <v>1.01E-4</v>
      </c>
      <c r="E28" s="9">
        <v>1.02E-4</v>
      </c>
      <c r="F28" s="1">
        <v>1.6000000000000001E-4</v>
      </c>
      <c r="G28" s="9">
        <v>1.6000000000000001E-4</v>
      </c>
      <c r="H28" s="1">
        <v>1.74E-4</v>
      </c>
      <c r="I28" s="9">
        <v>1.74E-4</v>
      </c>
      <c r="J28" s="7">
        <f t="shared" si="0"/>
        <v>0.98039215686274239</v>
      </c>
      <c r="K28" s="3">
        <f t="shared" si="1"/>
        <v>0</v>
      </c>
      <c r="L28" s="1">
        <f t="shared" si="2"/>
        <v>0</v>
      </c>
      <c r="M28" s="9">
        <f t="shared" si="3"/>
        <v>0.32679738562091415</v>
      </c>
      <c r="N28" s="1">
        <f t="shared" si="4"/>
        <v>-0.98039215686274239</v>
      </c>
      <c r="O28" s="9">
        <f t="shared" si="5"/>
        <v>0</v>
      </c>
      <c r="P28" s="1">
        <f t="shared" si="6"/>
        <v>0</v>
      </c>
      <c r="Q28" s="9">
        <f t="shared" si="7"/>
        <v>-0.32679738562091415</v>
      </c>
    </row>
    <row r="29" spans="1:17" x14ac:dyDescent="0.3">
      <c r="A29" s="8" t="s">
        <v>16</v>
      </c>
      <c r="B29" s="7">
        <v>7</v>
      </c>
      <c r="C29" s="3">
        <v>15</v>
      </c>
      <c r="D29" s="1">
        <v>9.3999999999999994E-5</v>
      </c>
      <c r="E29" s="9">
        <v>9.6000000000000002E-5</v>
      </c>
      <c r="F29" s="1">
        <v>1.4899999999999999E-4</v>
      </c>
      <c r="G29" s="9">
        <v>1.4999999999999999E-4</v>
      </c>
      <c r="H29" s="1">
        <v>1.63E-4</v>
      </c>
      <c r="I29" s="9">
        <v>1.6200000000000001E-4</v>
      </c>
      <c r="J29" s="7">
        <f t="shared" si="0"/>
        <v>2.0833333333333415</v>
      </c>
      <c r="K29" s="3">
        <f t="shared" si="1"/>
        <v>0.66666666666666485</v>
      </c>
      <c r="L29" s="1">
        <f t="shared" si="2"/>
        <v>0.61728395061728214</v>
      </c>
      <c r="M29" s="9">
        <f t="shared" si="3"/>
        <v>1.1224279835390962</v>
      </c>
      <c r="N29" s="1">
        <f t="shared" si="4"/>
        <v>-2.0833333333333415</v>
      </c>
      <c r="O29" s="9">
        <f t="shared" si="5"/>
        <v>-0.66666666666666485</v>
      </c>
      <c r="P29" s="1">
        <f t="shared" si="6"/>
        <v>0.61728395061728214</v>
      </c>
      <c r="Q29" s="9">
        <f t="shared" si="7"/>
        <v>-0.71090534979424136</v>
      </c>
    </row>
    <row r="30" spans="1:17" x14ac:dyDescent="0.3">
      <c r="A30" s="8" t="s">
        <v>17</v>
      </c>
      <c r="B30" s="7">
        <v>1</v>
      </c>
      <c r="C30" s="3">
        <v>8</v>
      </c>
      <c r="D30" s="1">
        <v>1.7699999999999999E-4</v>
      </c>
      <c r="E30" s="9">
        <v>1.7899999999999999E-4</v>
      </c>
      <c r="F30" s="1">
        <v>2.81E-4</v>
      </c>
      <c r="G30" s="9">
        <v>2.7999999999999998E-4</v>
      </c>
      <c r="H30" s="1">
        <v>3.0499999999999999E-4</v>
      </c>
      <c r="I30" s="9">
        <v>3.0499999999999999E-4</v>
      </c>
      <c r="J30" s="7">
        <f t="shared" si="0"/>
        <v>1.117318435754187</v>
      </c>
      <c r="K30" s="3">
        <f t="shared" si="1"/>
        <v>0.35714285714286587</v>
      </c>
      <c r="L30" s="1">
        <f t="shared" si="2"/>
        <v>0</v>
      </c>
      <c r="M30" s="9">
        <f t="shared" si="3"/>
        <v>0.49148709763235093</v>
      </c>
      <c r="N30" s="1">
        <f t="shared" si="4"/>
        <v>-1.117318435754187</v>
      </c>
      <c r="O30" s="9">
        <f t="shared" si="5"/>
        <v>0.35714285714286587</v>
      </c>
      <c r="P30" s="1">
        <f t="shared" si="6"/>
        <v>0</v>
      </c>
      <c r="Q30" s="9">
        <f t="shared" si="7"/>
        <v>-0.25339185953710702</v>
      </c>
    </row>
    <row r="31" spans="1:17" x14ac:dyDescent="0.3">
      <c r="A31" s="8" t="s">
        <v>17</v>
      </c>
      <c r="B31" s="7">
        <v>2</v>
      </c>
      <c r="C31" s="3">
        <v>9</v>
      </c>
      <c r="D31" s="1">
        <v>1.5799999999999999E-4</v>
      </c>
      <c r="E31" s="9">
        <v>1.5899999999999999E-4</v>
      </c>
      <c r="F31" s="1">
        <v>2.4899999999999998E-4</v>
      </c>
      <c r="G31" s="9">
        <v>2.4899999999999998E-4</v>
      </c>
      <c r="H31" s="1">
        <v>2.7099999999999997E-4</v>
      </c>
      <c r="I31" s="9">
        <v>2.7099999999999997E-4</v>
      </c>
      <c r="J31" s="7">
        <f t="shared" si="0"/>
        <v>0.6289308176100612</v>
      </c>
      <c r="K31" s="3">
        <f t="shared" si="1"/>
        <v>0</v>
      </c>
      <c r="L31" s="1">
        <f t="shared" si="2"/>
        <v>0</v>
      </c>
      <c r="M31" s="9">
        <f t="shared" si="3"/>
        <v>0.2096436058700204</v>
      </c>
      <c r="N31" s="1">
        <f t="shared" si="4"/>
        <v>-0.6289308176100612</v>
      </c>
      <c r="O31" s="9">
        <f t="shared" si="5"/>
        <v>0</v>
      </c>
      <c r="P31" s="1">
        <f t="shared" si="6"/>
        <v>0</v>
      </c>
      <c r="Q31" s="9">
        <f t="shared" si="7"/>
        <v>-0.2096436058700204</v>
      </c>
    </row>
    <row r="32" spans="1:17" x14ac:dyDescent="0.3">
      <c r="A32" s="8" t="s">
        <v>17</v>
      </c>
      <c r="B32" s="7">
        <v>3</v>
      </c>
      <c r="C32" s="3">
        <v>10</v>
      </c>
      <c r="D32" s="1">
        <v>1.4200000000000001E-4</v>
      </c>
      <c r="E32" s="9">
        <v>1.4300000000000001E-4</v>
      </c>
      <c r="F32" s="1">
        <v>2.24E-4</v>
      </c>
      <c r="G32" s="9">
        <v>2.24E-4</v>
      </c>
      <c r="H32" s="1">
        <v>2.4399999999999999E-4</v>
      </c>
      <c r="I32" s="9">
        <v>2.4399999999999999E-4</v>
      </c>
      <c r="J32" s="7">
        <f t="shared" si="0"/>
        <v>0.69930069930069727</v>
      </c>
      <c r="K32" s="3">
        <f t="shared" si="1"/>
        <v>0</v>
      </c>
      <c r="L32" s="1">
        <f t="shared" si="2"/>
        <v>0</v>
      </c>
      <c r="M32" s="9">
        <f t="shared" si="3"/>
        <v>0.23310023310023242</v>
      </c>
      <c r="N32" s="1">
        <f t="shared" si="4"/>
        <v>-0.69930069930069727</v>
      </c>
      <c r="O32" s="9">
        <f t="shared" si="5"/>
        <v>0</v>
      </c>
      <c r="P32" s="1">
        <f t="shared" si="6"/>
        <v>0</v>
      </c>
      <c r="Q32" s="9">
        <f t="shared" si="7"/>
        <v>-0.23310023310023242</v>
      </c>
    </row>
    <row r="33" spans="1:17" x14ac:dyDescent="0.3">
      <c r="A33" s="8" t="s">
        <v>17</v>
      </c>
      <c r="B33" s="7">
        <v>4</v>
      </c>
      <c r="C33" s="3">
        <v>11</v>
      </c>
      <c r="D33" s="1">
        <v>1.2899999999999999E-4</v>
      </c>
      <c r="E33" s="9">
        <v>1.2999999999999999E-4</v>
      </c>
      <c r="F33" s="1">
        <v>2.04E-4</v>
      </c>
      <c r="G33" s="9">
        <v>2.04E-4</v>
      </c>
      <c r="H33" s="1">
        <v>2.22E-4</v>
      </c>
      <c r="I33" s="9">
        <v>2.2100000000000001E-4</v>
      </c>
      <c r="J33" s="7">
        <f t="shared" si="0"/>
        <v>0.76923076923076716</v>
      </c>
      <c r="K33" s="3">
        <f t="shared" si="1"/>
        <v>0</v>
      </c>
      <c r="L33" s="1">
        <f t="shared" si="2"/>
        <v>0.45248868778280416</v>
      </c>
      <c r="M33" s="9">
        <f t="shared" si="3"/>
        <v>0.40723981900452372</v>
      </c>
      <c r="N33" s="1">
        <f t="shared" si="4"/>
        <v>-0.76923076923076716</v>
      </c>
      <c r="O33" s="9">
        <f t="shared" si="5"/>
        <v>0</v>
      </c>
      <c r="P33" s="1">
        <f t="shared" si="6"/>
        <v>0.45248868778280416</v>
      </c>
      <c r="Q33" s="9">
        <f t="shared" si="7"/>
        <v>-0.10558069381598767</v>
      </c>
    </row>
    <row r="34" spans="1:17" x14ac:dyDescent="0.3">
      <c r="A34" s="8" t="s">
        <v>17</v>
      </c>
      <c r="B34" s="7">
        <v>5</v>
      </c>
      <c r="C34" s="3">
        <v>12</v>
      </c>
      <c r="D34" s="1">
        <v>1.15E-4</v>
      </c>
      <c r="E34" s="9">
        <v>1.1900000000000001E-4</v>
      </c>
      <c r="F34" s="1">
        <v>1.8699999999999999E-4</v>
      </c>
      <c r="G34" s="9">
        <v>1.8599999999999999E-4</v>
      </c>
      <c r="H34" s="1">
        <v>2.03E-4</v>
      </c>
      <c r="I34" s="9">
        <v>2.03E-4</v>
      </c>
      <c r="J34" s="7">
        <f t="shared" si="0"/>
        <v>3.3613445378151279</v>
      </c>
      <c r="K34" s="3">
        <f t="shared" si="1"/>
        <v>0.53763440860214906</v>
      </c>
      <c r="L34" s="1">
        <f t="shared" si="2"/>
        <v>0</v>
      </c>
      <c r="M34" s="9">
        <f t="shared" si="3"/>
        <v>1.299659648805759</v>
      </c>
      <c r="N34" s="1">
        <f t="shared" si="4"/>
        <v>-3.3613445378151279</v>
      </c>
      <c r="O34" s="9">
        <f t="shared" si="5"/>
        <v>0.53763440860214906</v>
      </c>
      <c r="P34" s="1">
        <f t="shared" si="6"/>
        <v>0</v>
      </c>
      <c r="Q34" s="9">
        <f t="shared" si="7"/>
        <v>-0.9412367097376596</v>
      </c>
    </row>
    <row r="35" spans="1:17" x14ac:dyDescent="0.3">
      <c r="A35" s="8" t="s">
        <v>18</v>
      </c>
      <c r="B35" s="7">
        <v>1</v>
      </c>
      <c r="C35" s="3">
        <v>5</v>
      </c>
      <c r="D35" s="1">
        <v>2.8400000000000002E-4</v>
      </c>
      <c r="E35" s="9">
        <v>2.8600000000000001E-4</v>
      </c>
      <c r="F35" s="1">
        <v>4.4900000000000002E-4</v>
      </c>
      <c r="G35" s="9">
        <v>4.4799999999999999E-4</v>
      </c>
      <c r="H35" s="1">
        <v>4.8899999999999996E-4</v>
      </c>
      <c r="I35" s="9">
        <v>4.86E-4</v>
      </c>
      <c r="J35" s="7">
        <f t="shared" si="0"/>
        <v>0.69930069930069727</v>
      </c>
      <c r="K35" s="3">
        <f t="shared" si="1"/>
        <v>0.22321428571429114</v>
      </c>
      <c r="L35" s="1">
        <f t="shared" si="2"/>
        <v>0.6172839506172767</v>
      </c>
      <c r="M35" s="9">
        <f t="shared" si="3"/>
        <v>0.51326631187742178</v>
      </c>
      <c r="N35" s="1">
        <f t="shared" si="4"/>
        <v>-0.69930069930069727</v>
      </c>
      <c r="O35" s="9">
        <f t="shared" si="5"/>
        <v>0.22321428571429114</v>
      </c>
      <c r="P35" s="1">
        <f t="shared" si="6"/>
        <v>0.6172839506172767</v>
      </c>
      <c r="Q35" s="9">
        <f t="shared" si="7"/>
        <v>4.7065845676956854E-2</v>
      </c>
    </row>
    <row r="36" spans="1:17" x14ac:dyDescent="0.3">
      <c r="A36" s="8" t="s">
        <v>18</v>
      </c>
      <c r="B36" s="7">
        <v>2</v>
      </c>
      <c r="C36" s="3">
        <v>6</v>
      </c>
      <c r="D36" s="1">
        <v>2.3699999999999999E-4</v>
      </c>
      <c r="E36" s="9">
        <v>2.3699999999999999E-4</v>
      </c>
      <c r="F36" s="1">
        <v>3.7399999999999998E-4</v>
      </c>
      <c r="G36" s="9">
        <v>3.7399999999999998E-4</v>
      </c>
      <c r="H36" s="1">
        <v>4.0700000000000003E-4</v>
      </c>
      <c r="I36" s="9">
        <v>4.0700000000000003E-4</v>
      </c>
      <c r="J36" s="7">
        <f t="shared" si="0"/>
        <v>0</v>
      </c>
      <c r="K36" s="3">
        <f t="shared" si="1"/>
        <v>0</v>
      </c>
      <c r="L36" s="1">
        <f t="shared" si="2"/>
        <v>0</v>
      </c>
      <c r="M36" s="9">
        <f t="shared" si="3"/>
        <v>0</v>
      </c>
      <c r="N36" s="1">
        <f t="shared" si="4"/>
        <v>0</v>
      </c>
      <c r="O36" s="9">
        <f t="shared" si="5"/>
        <v>0</v>
      </c>
      <c r="P36" s="1">
        <f t="shared" si="6"/>
        <v>0</v>
      </c>
      <c r="Q36" s="9">
        <f t="shared" si="7"/>
        <v>0</v>
      </c>
    </row>
    <row r="37" spans="1:17" x14ac:dyDescent="0.3">
      <c r="A37" s="8" t="s">
        <v>18</v>
      </c>
      <c r="B37" s="7">
        <v>3</v>
      </c>
      <c r="C37" s="3">
        <v>7</v>
      </c>
      <c r="D37" s="1">
        <v>2.03E-4</v>
      </c>
      <c r="E37" s="9">
        <v>2.03E-4</v>
      </c>
      <c r="F37" s="1">
        <v>3.21E-4</v>
      </c>
      <c r="G37" s="9">
        <v>3.2000000000000003E-4</v>
      </c>
      <c r="H37" s="1">
        <v>3.4900000000000003E-4</v>
      </c>
      <c r="I37" s="9">
        <v>3.48E-4</v>
      </c>
      <c r="J37" s="7">
        <f t="shared" si="0"/>
        <v>0</v>
      </c>
      <c r="K37" s="3">
        <f t="shared" si="1"/>
        <v>0.31249999999999062</v>
      </c>
      <c r="L37" s="1">
        <f t="shared" si="2"/>
        <v>0.28735632183908744</v>
      </c>
      <c r="M37" s="9">
        <f t="shared" si="3"/>
        <v>0.19995210727969268</v>
      </c>
      <c r="N37" s="1">
        <f t="shared" si="4"/>
        <v>0</v>
      </c>
      <c r="O37" s="9">
        <f t="shared" si="5"/>
        <v>0.31249999999999062</v>
      </c>
      <c r="P37" s="1">
        <f t="shared" si="6"/>
        <v>0.28735632183908744</v>
      </c>
      <c r="Q37" s="9">
        <f t="shared" si="7"/>
        <v>0.19995210727969268</v>
      </c>
    </row>
    <row r="38" spans="1:17" x14ac:dyDescent="0.3">
      <c r="A38" s="8" t="s">
        <v>18</v>
      </c>
      <c r="B38" s="7">
        <v>4</v>
      </c>
      <c r="C38" s="3">
        <v>8</v>
      </c>
      <c r="D38" s="1">
        <v>1.7699999999999999E-4</v>
      </c>
      <c r="E38" s="9">
        <v>1.7899999999999999E-4</v>
      </c>
      <c r="F38" s="1">
        <v>2.81E-4</v>
      </c>
      <c r="G38" s="9">
        <v>2.7999999999999998E-4</v>
      </c>
      <c r="H38" s="1">
        <v>3.0499999999999999E-4</v>
      </c>
      <c r="I38" s="9">
        <v>3.0499999999999999E-4</v>
      </c>
      <c r="J38" s="7">
        <f t="shared" si="0"/>
        <v>1.117318435754187</v>
      </c>
      <c r="K38" s="3">
        <f t="shared" si="1"/>
        <v>0.35714285714286587</v>
      </c>
      <c r="L38" s="1">
        <f t="shared" si="2"/>
        <v>0</v>
      </c>
      <c r="M38" s="9">
        <f t="shared" si="3"/>
        <v>0.49148709763235093</v>
      </c>
      <c r="N38" s="1">
        <f t="shared" si="4"/>
        <v>-1.117318435754187</v>
      </c>
      <c r="O38" s="9">
        <f t="shared" si="5"/>
        <v>0.35714285714286587</v>
      </c>
      <c r="P38" s="1">
        <f t="shared" si="6"/>
        <v>0</v>
      </c>
      <c r="Q38" s="9">
        <f t="shared" si="7"/>
        <v>-0.25339185953710702</v>
      </c>
    </row>
    <row r="39" spans="1:17" x14ac:dyDescent="0.3">
      <c r="A39" s="8" t="s">
        <v>18</v>
      </c>
      <c r="B39" s="7">
        <v>5</v>
      </c>
      <c r="C39" s="3">
        <v>9</v>
      </c>
      <c r="D39" s="1">
        <v>1.5799999999999999E-4</v>
      </c>
      <c r="E39" s="9">
        <v>1.5899999999999999E-4</v>
      </c>
      <c r="F39" s="1">
        <v>2.4899999999999998E-4</v>
      </c>
      <c r="G39" s="9">
        <v>2.4899999999999998E-4</v>
      </c>
      <c r="H39" s="1">
        <v>2.7099999999999997E-4</v>
      </c>
      <c r="I39" s="9">
        <v>2.7099999999999997E-4</v>
      </c>
      <c r="J39" s="7">
        <f t="shared" si="0"/>
        <v>0.6289308176100612</v>
      </c>
      <c r="K39" s="3">
        <f t="shared" si="1"/>
        <v>0</v>
      </c>
      <c r="L39" s="1">
        <f t="shared" si="2"/>
        <v>0</v>
      </c>
      <c r="M39" s="9">
        <f t="shared" si="3"/>
        <v>0.2096436058700204</v>
      </c>
      <c r="N39" s="1">
        <f t="shared" si="4"/>
        <v>-0.6289308176100612</v>
      </c>
      <c r="O39" s="9">
        <f t="shared" si="5"/>
        <v>0</v>
      </c>
      <c r="P39" s="1">
        <f t="shared" si="6"/>
        <v>0</v>
      </c>
      <c r="Q39" s="9">
        <f t="shared" si="7"/>
        <v>-0.2096436058700204</v>
      </c>
    </row>
    <row r="40" spans="1:17" x14ac:dyDescent="0.3">
      <c r="A40" s="8" t="s">
        <v>18</v>
      </c>
      <c r="B40" s="7">
        <v>6</v>
      </c>
      <c r="C40" s="3">
        <v>10</v>
      </c>
      <c r="D40" s="1">
        <v>1.4200000000000001E-4</v>
      </c>
      <c r="E40" s="9">
        <v>1.4300000000000001E-4</v>
      </c>
      <c r="F40" s="1">
        <v>2.24E-4</v>
      </c>
      <c r="G40" s="9">
        <v>2.24E-4</v>
      </c>
      <c r="H40" s="1">
        <v>2.4399999999999999E-4</v>
      </c>
      <c r="I40" s="9">
        <v>2.4399999999999999E-4</v>
      </c>
      <c r="J40" s="7">
        <f t="shared" si="0"/>
        <v>0.69930069930069727</v>
      </c>
      <c r="K40" s="3">
        <f t="shared" si="1"/>
        <v>0</v>
      </c>
      <c r="L40" s="1">
        <f t="shared" si="2"/>
        <v>0</v>
      </c>
      <c r="M40" s="9">
        <f t="shared" si="3"/>
        <v>0.23310023310023242</v>
      </c>
      <c r="N40" s="1">
        <f t="shared" si="4"/>
        <v>-0.69930069930069727</v>
      </c>
      <c r="O40" s="9">
        <f t="shared" si="5"/>
        <v>0</v>
      </c>
      <c r="P40" s="1">
        <f t="shared" si="6"/>
        <v>0</v>
      </c>
      <c r="Q40" s="9">
        <f t="shared" si="7"/>
        <v>-0.23310023310023242</v>
      </c>
    </row>
    <row r="41" spans="1:17" x14ac:dyDescent="0.3">
      <c r="A41" s="8" t="s">
        <v>19</v>
      </c>
      <c r="B41" s="7">
        <v>1</v>
      </c>
      <c r="C41" s="3">
        <v>4</v>
      </c>
      <c r="D41" s="1">
        <v>3.5500000000000001E-4</v>
      </c>
      <c r="E41" s="9">
        <v>3.5799999999999997E-4</v>
      </c>
      <c r="F41" s="1">
        <v>5.62E-4</v>
      </c>
      <c r="G41" s="9">
        <v>5.6300000000000002E-4</v>
      </c>
      <c r="H41" s="1">
        <v>6.11E-4</v>
      </c>
      <c r="I41" s="9">
        <v>6.0999999999999997E-4</v>
      </c>
      <c r="J41" s="7">
        <f t="shared" si="0"/>
        <v>0.83798882681563258</v>
      </c>
      <c r="K41" s="3">
        <f t="shared" si="1"/>
        <v>0.17761989342806825</v>
      </c>
      <c r="L41" s="1">
        <f t="shared" si="2"/>
        <v>0.16393442622951218</v>
      </c>
      <c r="M41" s="9">
        <f t="shared" si="3"/>
        <v>0.3931810488244043</v>
      </c>
      <c r="N41" s="1">
        <f t="shared" si="4"/>
        <v>-0.83798882681563258</v>
      </c>
      <c r="O41" s="9">
        <f t="shared" si="5"/>
        <v>-0.17761989342806825</v>
      </c>
      <c r="P41" s="1">
        <f t="shared" si="6"/>
        <v>0.16393442622951218</v>
      </c>
      <c r="Q41" s="9">
        <f t="shared" si="7"/>
        <v>-0.28389143133806288</v>
      </c>
    </row>
    <row r="42" spans="1:17" x14ac:dyDescent="0.3">
      <c r="A42" s="8" t="s">
        <v>19</v>
      </c>
      <c r="B42" s="7">
        <v>2</v>
      </c>
      <c r="C42" s="3">
        <v>5</v>
      </c>
      <c r="D42" s="1">
        <v>2.8400000000000002E-4</v>
      </c>
      <c r="E42" s="9">
        <v>2.8699999999999998E-4</v>
      </c>
      <c r="F42" s="1">
        <v>4.4900000000000002E-4</v>
      </c>
      <c r="G42" s="9">
        <v>4.4900000000000002E-4</v>
      </c>
      <c r="H42" s="1">
        <v>4.8899999999999996E-4</v>
      </c>
      <c r="I42" s="9">
        <v>4.8799999999999999E-4</v>
      </c>
      <c r="J42" s="7">
        <f t="shared" si="0"/>
        <v>1.0452961672473744</v>
      </c>
      <c r="K42" s="3">
        <f t="shared" si="1"/>
        <v>0</v>
      </c>
      <c r="L42" s="1">
        <f t="shared" si="2"/>
        <v>0.20491803278687912</v>
      </c>
      <c r="M42" s="9">
        <f t="shared" si="3"/>
        <v>0.4167380666780845</v>
      </c>
      <c r="N42" s="1">
        <f t="shared" si="4"/>
        <v>-1.0452961672473744</v>
      </c>
      <c r="O42" s="9">
        <f t="shared" si="5"/>
        <v>0</v>
      </c>
      <c r="P42" s="1">
        <f t="shared" si="6"/>
        <v>0.20491803278687912</v>
      </c>
      <c r="Q42" s="9">
        <f t="shared" si="7"/>
        <v>-0.28012604482016507</v>
      </c>
    </row>
    <row r="43" spans="1:17" x14ac:dyDescent="0.3">
      <c r="A43" s="8" t="s">
        <v>19</v>
      </c>
      <c r="B43" s="7">
        <v>3</v>
      </c>
      <c r="C43" s="3">
        <v>6</v>
      </c>
      <c r="D43" s="1">
        <v>2.3699999999999999E-4</v>
      </c>
      <c r="E43" s="9">
        <v>2.3900000000000001E-4</v>
      </c>
      <c r="F43" s="1">
        <v>3.7399999999999998E-4</v>
      </c>
      <c r="G43" s="9">
        <v>3.7399999999999998E-4</v>
      </c>
      <c r="H43" s="1">
        <v>4.0700000000000003E-4</v>
      </c>
      <c r="I43" s="9">
        <v>4.06E-4</v>
      </c>
      <c r="J43" s="7">
        <f t="shared" si="0"/>
        <v>0.83682008368201732</v>
      </c>
      <c r="K43" s="3">
        <f t="shared" si="1"/>
        <v>0</v>
      </c>
      <c r="L43" s="1">
        <f t="shared" si="2"/>
        <v>0.24630541871921779</v>
      </c>
      <c r="M43" s="9">
        <f t="shared" si="3"/>
        <v>0.36104183413374508</v>
      </c>
      <c r="N43" s="1">
        <f t="shared" si="4"/>
        <v>-0.83682008368201732</v>
      </c>
      <c r="O43" s="9">
        <f t="shared" si="5"/>
        <v>0</v>
      </c>
      <c r="P43" s="1">
        <f t="shared" si="6"/>
        <v>0.24630541871921779</v>
      </c>
      <c r="Q43" s="9">
        <f t="shared" si="7"/>
        <v>-0.19683822165426648</v>
      </c>
    </row>
    <row r="44" spans="1:17" x14ac:dyDescent="0.3">
      <c r="A44" s="8" t="s">
        <v>20</v>
      </c>
      <c r="B44" s="7">
        <v>1</v>
      </c>
      <c r="C44" s="3">
        <v>6</v>
      </c>
      <c r="D44" s="1">
        <v>2.3699999999999999E-4</v>
      </c>
      <c r="E44" s="9">
        <v>2.3900000000000001E-4</v>
      </c>
      <c r="F44" s="1">
        <v>3.7399999999999998E-4</v>
      </c>
      <c r="G44" s="9">
        <v>3.7399999999999998E-4</v>
      </c>
      <c r="H44" s="1">
        <v>4.0700000000000003E-4</v>
      </c>
      <c r="I44" s="9">
        <v>4.0700000000000003E-4</v>
      </c>
      <c r="J44" s="7">
        <f t="shared" si="0"/>
        <v>0.83682008368201732</v>
      </c>
      <c r="K44" s="3">
        <f t="shared" si="1"/>
        <v>0</v>
      </c>
      <c r="L44" s="1">
        <f t="shared" si="2"/>
        <v>0</v>
      </c>
      <c r="M44" s="9">
        <f t="shared" si="3"/>
        <v>0.27894002789400579</v>
      </c>
      <c r="N44" s="1">
        <f t="shared" si="4"/>
        <v>-0.83682008368201732</v>
      </c>
      <c r="O44" s="9">
        <f t="shared" si="5"/>
        <v>0</v>
      </c>
      <c r="P44" s="1">
        <f t="shared" si="6"/>
        <v>0</v>
      </c>
      <c r="Q44" s="9">
        <f t="shared" si="7"/>
        <v>-0.27894002789400579</v>
      </c>
    </row>
    <row r="45" spans="1:17" x14ac:dyDescent="0.3">
      <c r="A45" s="8" t="s">
        <v>20</v>
      </c>
      <c r="B45" s="7">
        <v>2</v>
      </c>
      <c r="C45" s="3">
        <v>7</v>
      </c>
      <c r="D45" s="1">
        <v>2.03E-4</v>
      </c>
      <c r="E45" s="9">
        <v>2.04E-4</v>
      </c>
      <c r="F45" s="1">
        <v>3.21E-4</v>
      </c>
      <c r="G45" s="9">
        <v>3.2000000000000003E-4</v>
      </c>
      <c r="H45" s="1">
        <v>3.4900000000000003E-4</v>
      </c>
      <c r="I45" s="9">
        <v>3.4900000000000003E-4</v>
      </c>
      <c r="J45" s="7">
        <f t="shared" si="0"/>
        <v>0.4901960784313712</v>
      </c>
      <c r="K45" s="3">
        <f t="shared" si="1"/>
        <v>0.31249999999999062</v>
      </c>
      <c r="L45" s="1">
        <f t="shared" si="2"/>
        <v>0</v>
      </c>
      <c r="M45" s="9">
        <f t="shared" si="3"/>
        <v>0.26756535947712062</v>
      </c>
      <c r="N45" s="1">
        <f t="shared" si="4"/>
        <v>-0.4901960784313712</v>
      </c>
      <c r="O45" s="9">
        <f t="shared" si="5"/>
        <v>0.31249999999999062</v>
      </c>
      <c r="P45" s="1">
        <f t="shared" si="6"/>
        <v>0</v>
      </c>
      <c r="Q45" s="9">
        <f t="shared" si="7"/>
        <v>-5.9232026143793526E-2</v>
      </c>
    </row>
    <row r="46" spans="1:17" x14ac:dyDescent="0.3">
      <c r="A46" s="8" t="s">
        <v>20</v>
      </c>
      <c r="B46" s="7">
        <v>3</v>
      </c>
      <c r="C46" s="3">
        <v>8</v>
      </c>
      <c r="D46" s="1">
        <v>1.7699999999999999E-4</v>
      </c>
      <c r="E46" s="9">
        <v>1.7899999999999999E-4</v>
      </c>
      <c r="F46" s="1">
        <v>2.81E-4</v>
      </c>
      <c r="G46" s="9">
        <v>2.7999999999999998E-4</v>
      </c>
      <c r="H46" s="1">
        <v>3.0499999999999999E-4</v>
      </c>
      <c r="I46" s="9">
        <v>3.0499999999999999E-4</v>
      </c>
      <c r="J46" s="7">
        <f t="shared" si="0"/>
        <v>1.117318435754187</v>
      </c>
      <c r="K46" s="3">
        <f t="shared" si="1"/>
        <v>0.35714285714286587</v>
      </c>
      <c r="L46" s="1">
        <f t="shared" si="2"/>
        <v>0</v>
      </c>
      <c r="M46" s="9">
        <f t="shared" si="3"/>
        <v>0.49148709763235093</v>
      </c>
      <c r="N46" s="1">
        <f t="shared" si="4"/>
        <v>-1.117318435754187</v>
      </c>
      <c r="O46" s="9">
        <f t="shared" si="5"/>
        <v>0.35714285714286587</v>
      </c>
      <c r="P46" s="1">
        <f t="shared" si="6"/>
        <v>0</v>
      </c>
      <c r="Q46" s="9">
        <f t="shared" si="7"/>
        <v>-0.25339185953710702</v>
      </c>
    </row>
    <row r="47" spans="1:17" x14ac:dyDescent="0.3">
      <c r="A47" s="8" t="s">
        <v>20</v>
      </c>
      <c r="B47" s="7">
        <v>4</v>
      </c>
      <c r="C47" s="3">
        <v>9</v>
      </c>
      <c r="D47" s="1">
        <v>1.5799999999999999E-4</v>
      </c>
      <c r="E47" s="9">
        <v>1.5899999999999999E-4</v>
      </c>
      <c r="F47" s="1">
        <v>2.4899999999999998E-4</v>
      </c>
      <c r="G47" s="9">
        <v>2.4899999999999998E-4</v>
      </c>
      <c r="H47" s="1">
        <v>2.7099999999999997E-4</v>
      </c>
      <c r="I47" s="9">
        <v>2.7099999999999997E-4</v>
      </c>
      <c r="J47" s="7">
        <f t="shared" si="0"/>
        <v>0.6289308176100612</v>
      </c>
      <c r="K47" s="3">
        <f t="shared" si="1"/>
        <v>0</v>
      </c>
      <c r="L47" s="1">
        <f t="shared" si="2"/>
        <v>0</v>
      </c>
      <c r="M47" s="9">
        <f t="shared" si="3"/>
        <v>0.2096436058700204</v>
      </c>
      <c r="N47" s="1">
        <f t="shared" si="4"/>
        <v>-0.6289308176100612</v>
      </c>
      <c r="O47" s="9">
        <f t="shared" si="5"/>
        <v>0</v>
      </c>
      <c r="P47" s="1">
        <f t="shared" si="6"/>
        <v>0</v>
      </c>
      <c r="Q47" s="9">
        <f t="shared" si="7"/>
        <v>-0.2096436058700204</v>
      </c>
    </row>
    <row r="48" spans="1:17" x14ac:dyDescent="0.3">
      <c r="A48" s="8" t="s">
        <v>20</v>
      </c>
      <c r="B48" s="7">
        <v>5</v>
      </c>
      <c r="C48" s="3">
        <v>10</v>
      </c>
      <c r="D48" s="1">
        <v>1.4200000000000001E-4</v>
      </c>
      <c r="E48" s="9">
        <v>1.4200000000000001E-4</v>
      </c>
      <c r="F48" s="1">
        <v>2.24E-4</v>
      </c>
      <c r="G48" s="9">
        <v>2.24E-4</v>
      </c>
      <c r="H48" s="1">
        <v>2.4399999999999999E-4</v>
      </c>
      <c r="I48" s="9">
        <v>2.4399999999999999E-4</v>
      </c>
      <c r="J48" s="7">
        <f t="shared" si="0"/>
        <v>0</v>
      </c>
      <c r="K48" s="3">
        <f t="shared" si="1"/>
        <v>0</v>
      </c>
      <c r="L48" s="1">
        <f t="shared" si="2"/>
        <v>0</v>
      </c>
      <c r="M48" s="9">
        <f t="shared" si="3"/>
        <v>0</v>
      </c>
      <c r="N48" s="1">
        <f t="shared" si="4"/>
        <v>0</v>
      </c>
      <c r="O48" s="9">
        <f t="shared" si="5"/>
        <v>0</v>
      </c>
      <c r="P48" s="1">
        <f t="shared" si="6"/>
        <v>0</v>
      </c>
      <c r="Q48" s="9">
        <f t="shared" si="7"/>
        <v>0</v>
      </c>
    </row>
    <row r="49" spans="1:17" x14ac:dyDescent="0.3">
      <c r="A49" s="8" t="s">
        <v>21</v>
      </c>
      <c r="B49" s="7">
        <v>1</v>
      </c>
      <c r="C49" s="3">
        <v>8</v>
      </c>
      <c r="D49" s="1">
        <v>1.7699999999999999E-4</v>
      </c>
      <c r="E49" s="9">
        <v>1.7699999999999999E-4</v>
      </c>
      <c r="F49" s="1">
        <v>2.81E-4</v>
      </c>
      <c r="G49" s="9">
        <v>2.7999999999999998E-4</v>
      </c>
      <c r="H49" s="1">
        <v>3.0499999999999999E-4</v>
      </c>
      <c r="I49" s="9">
        <v>3.0499999999999999E-4</v>
      </c>
      <c r="J49" s="7">
        <f t="shared" si="0"/>
        <v>0</v>
      </c>
      <c r="K49" s="3">
        <f t="shared" si="1"/>
        <v>0.35714285714286587</v>
      </c>
      <c r="L49" s="1">
        <f t="shared" si="2"/>
        <v>0</v>
      </c>
      <c r="M49" s="9">
        <f t="shared" si="3"/>
        <v>0.11904761904762196</v>
      </c>
      <c r="N49" s="1">
        <f t="shared" si="4"/>
        <v>0</v>
      </c>
      <c r="O49" s="9">
        <f t="shared" si="5"/>
        <v>0.35714285714286587</v>
      </c>
      <c r="P49" s="1">
        <f t="shared" si="6"/>
        <v>0</v>
      </c>
      <c r="Q49" s="9">
        <f t="shared" si="7"/>
        <v>0.11904761904762196</v>
      </c>
    </row>
    <row r="50" spans="1:17" x14ac:dyDescent="0.3">
      <c r="A50" s="8" t="s">
        <v>21</v>
      </c>
      <c r="B50" s="7">
        <v>2</v>
      </c>
      <c r="C50" s="3">
        <v>9</v>
      </c>
      <c r="D50" s="1">
        <v>1.5799999999999999E-4</v>
      </c>
      <c r="E50" s="9">
        <v>1.5799999999999999E-4</v>
      </c>
      <c r="F50" s="1">
        <v>2.4899999999999998E-4</v>
      </c>
      <c r="G50" s="9">
        <v>2.4899999999999998E-4</v>
      </c>
      <c r="H50" s="1">
        <v>2.7099999999999997E-4</v>
      </c>
      <c r="I50" s="9">
        <v>2.7E-4</v>
      </c>
      <c r="J50" s="7">
        <f t="shared" si="0"/>
        <v>0</v>
      </c>
      <c r="K50" s="3">
        <f t="shared" si="1"/>
        <v>0</v>
      </c>
      <c r="L50" s="1">
        <f t="shared" si="2"/>
        <v>0.3703703703703593</v>
      </c>
      <c r="M50" s="9">
        <f t="shared" si="3"/>
        <v>0.12345679012345311</v>
      </c>
      <c r="N50" s="1">
        <f t="shared" si="4"/>
        <v>0</v>
      </c>
      <c r="O50" s="9">
        <f t="shared" si="5"/>
        <v>0</v>
      </c>
      <c r="P50" s="1">
        <f t="shared" si="6"/>
        <v>0.3703703703703593</v>
      </c>
      <c r="Q50" s="9">
        <f t="shared" si="7"/>
        <v>0.12345679012345311</v>
      </c>
    </row>
    <row r="51" spans="1:17" x14ac:dyDescent="0.3">
      <c r="A51" s="8" t="s">
        <v>21</v>
      </c>
      <c r="B51" s="7">
        <v>3</v>
      </c>
      <c r="C51" s="3">
        <v>10</v>
      </c>
      <c r="D51" s="1">
        <v>1.4200000000000001E-4</v>
      </c>
      <c r="E51" s="9">
        <v>1.4300000000000001E-4</v>
      </c>
      <c r="F51" s="1">
        <v>2.24E-4</v>
      </c>
      <c r="G51" s="9">
        <v>2.24E-4</v>
      </c>
      <c r="H51" s="1">
        <v>2.4399999999999999E-4</v>
      </c>
      <c r="I51" s="9">
        <v>2.42E-4</v>
      </c>
      <c r="J51" s="7">
        <f t="shared" si="0"/>
        <v>0.69930069930069727</v>
      </c>
      <c r="K51" s="3">
        <f t="shared" si="1"/>
        <v>0</v>
      </c>
      <c r="L51" s="1">
        <f t="shared" si="2"/>
        <v>0.82644628099173323</v>
      </c>
      <c r="M51" s="9">
        <f t="shared" si="3"/>
        <v>0.5085823267641435</v>
      </c>
      <c r="N51" s="1">
        <f t="shared" si="4"/>
        <v>-0.69930069930069727</v>
      </c>
      <c r="O51" s="9">
        <f t="shared" si="5"/>
        <v>0</v>
      </c>
      <c r="P51" s="1">
        <f t="shared" si="6"/>
        <v>0.82644628099173323</v>
      </c>
      <c r="Q51" s="9">
        <f t="shared" si="7"/>
        <v>4.2381860563678653E-2</v>
      </c>
    </row>
    <row r="52" spans="1:17" x14ac:dyDescent="0.3">
      <c r="A52" s="8" t="s">
        <v>21</v>
      </c>
      <c r="B52" s="7">
        <v>4</v>
      </c>
      <c r="C52" s="3">
        <v>11</v>
      </c>
      <c r="D52" s="1">
        <v>1.2899999999999999E-4</v>
      </c>
      <c r="E52" s="9">
        <v>1.2899999999999999E-4</v>
      </c>
      <c r="F52" s="1">
        <v>2.04E-4</v>
      </c>
      <c r="G52" s="9">
        <v>2.03E-4</v>
      </c>
      <c r="H52" s="1">
        <v>2.22E-4</v>
      </c>
      <c r="I52" s="9">
        <v>2.2100000000000001E-4</v>
      </c>
      <c r="J52" s="7">
        <f t="shared" si="0"/>
        <v>0</v>
      </c>
      <c r="K52" s="3">
        <f t="shared" si="1"/>
        <v>0.49261083743842227</v>
      </c>
      <c r="L52" s="1">
        <f t="shared" si="2"/>
        <v>0.45248868778280416</v>
      </c>
      <c r="M52" s="9">
        <f t="shared" si="3"/>
        <v>0.31503317507374212</v>
      </c>
      <c r="N52" s="1">
        <f t="shared" si="4"/>
        <v>0</v>
      </c>
      <c r="O52" s="9">
        <f t="shared" si="5"/>
        <v>0.49261083743842227</v>
      </c>
      <c r="P52" s="1">
        <f t="shared" si="6"/>
        <v>0.45248868778280416</v>
      </c>
      <c r="Q52" s="9">
        <f t="shared" si="7"/>
        <v>0.31503317507374212</v>
      </c>
    </row>
    <row r="53" spans="1:17" x14ac:dyDescent="0.3">
      <c r="A53" s="8" t="s">
        <v>22</v>
      </c>
      <c r="B53" s="7">
        <v>1</v>
      </c>
      <c r="C53" s="3">
        <v>10</v>
      </c>
      <c r="D53" s="1">
        <v>1.4200000000000001E-4</v>
      </c>
      <c r="E53" s="9">
        <v>1.4300000000000001E-4</v>
      </c>
      <c r="F53" s="1">
        <v>2.24E-4</v>
      </c>
      <c r="G53" s="9">
        <v>2.24E-4</v>
      </c>
      <c r="H53" s="1">
        <v>2.4399999999999999E-4</v>
      </c>
      <c r="I53" s="9">
        <v>2.43E-4</v>
      </c>
      <c r="J53" s="7">
        <f t="shared" si="0"/>
        <v>0.69930069930069727</v>
      </c>
      <c r="K53" s="3">
        <f t="shared" si="1"/>
        <v>0</v>
      </c>
      <c r="L53" s="1">
        <f t="shared" si="2"/>
        <v>0.41152263374485482</v>
      </c>
      <c r="M53" s="9">
        <f t="shared" si="3"/>
        <v>0.37027444434851736</v>
      </c>
      <c r="N53" s="1">
        <f t="shared" si="4"/>
        <v>-0.69930069930069727</v>
      </c>
      <c r="O53" s="9">
        <f t="shared" si="5"/>
        <v>0</v>
      </c>
      <c r="P53" s="1">
        <f t="shared" si="6"/>
        <v>0.41152263374485482</v>
      </c>
      <c r="Q53" s="9">
        <f t="shared" si="7"/>
        <v>-9.5926021851947485E-2</v>
      </c>
    </row>
    <row r="54" spans="1:17" x14ac:dyDescent="0.3">
      <c r="A54" s="8" t="s">
        <v>22</v>
      </c>
      <c r="B54" s="7">
        <v>2</v>
      </c>
      <c r="C54" s="3">
        <v>11</v>
      </c>
      <c r="D54" s="1">
        <v>1.2899999999999999E-4</v>
      </c>
      <c r="E54" s="9">
        <v>1.2999999999999999E-4</v>
      </c>
      <c r="F54" s="1">
        <v>2.04E-4</v>
      </c>
      <c r="G54" s="9">
        <v>2.04E-4</v>
      </c>
      <c r="H54" s="1">
        <v>2.22E-4</v>
      </c>
      <c r="I54" s="9">
        <v>2.22E-4</v>
      </c>
      <c r="J54" s="7">
        <f t="shared" si="0"/>
        <v>0.76923076923076716</v>
      </c>
      <c r="K54" s="3">
        <f t="shared" si="1"/>
        <v>0</v>
      </c>
      <c r="L54" s="1">
        <f t="shared" si="2"/>
        <v>0</v>
      </c>
      <c r="M54" s="9">
        <f t="shared" si="3"/>
        <v>0.25641025641025572</v>
      </c>
      <c r="N54" s="1">
        <f t="shared" si="4"/>
        <v>-0.76923076923076716</v>
      </c>
      <c r="O54" s="9">
        <f t="shared" si="5"/>
        <v>0</v>
      </c>
      <c r="P54" s="1">
        <f t="shared" si="6"/>
        <v>0</v>
      </c>
      <c r="Q54" s="9">
        <f t="shared" si="7"/>
        <v>-0.25641025641025572</v>
      </c>
    </row>
    <row r="55" spans="1:17" x14ac:dyDescent="0.3">
      <c r="A55" s="8" t="s">
        <v>22</v>
      </c>
      <c r="B55" s="7">
        <v>3</v>
      </c>
      <c r="C55" s="3">
        <v>12</v>
      </c>
      <c r="D55" s="1">
        <v>1.18E-4</v>
      </c>
      <c r="E55" s="9">
        <v>1.18E-4</v>
      </c>
      <c r="F55" s="1">
        <v>1.8699999999999999E-4</v>
      </c>
      <c r="G55" s="9">
        <v>1.8699999999999999E-4</v>
      </c>
      <c r="H55" s="1">
        <v>2.03E-4</v>
      </c>
      <c r="I55" s="9">
        <v>2.03E-4</v>
      </c>
      <c r="J55" s="7">
        <f t="shared" si="0"/>
        <v>0</v>
      </c>
      <c r="K55" s="3">
        <f t="shared" si="1"/>
        <v>0</v>
      </c>
      <c r="L55" s="1">
        <f t="shared" si="2"/>
        <v>0</v>
      </c>
      <c r="M55" s="9">
        <f t="shared" si="3"/>
        <v>0</v>
      </c>
      <c r="N55" s="1">
        <f t="shared" si="4"/>
        <v>0</v>
      </c>
      <c r="O55" s="9">
        <f t="shared" si="5"/>
        <v>0</v>
      </c>
      <c r="P55" s="1">
        <f t="shared" si="6"/>
        <v>0</v>
      </c>
      <c r="Q55" s="9">
        <f t="shared" si="7"/>
        <v>0</v>
      </c>
    </row>
    <row r="56" spans="1:17" x14ac:dyDescent="0.3">
      <c r="A56" s="8" t="s">
        <v>22</v>
      </c>
      <c r="B56" s="7">
        <v>4</v>
      </c>
      <c r="C56" s="3">
        <v>13</v>
      </c>
      <c r="D56" s="1">
        <v>1.0900000000000001E-4</v>
      </c>
      <c r="E56" s="9">
        <v>1.1E-4</v>
      </c>
      <c r="F56" s="1">
        <v>1.73E-4</v>
      </c>
      <c r="G56" s="9">
        <v>1.7200000000000001E-4</v>
      </c>
      <c r="H56" s="1">
        <v>1.8799999999999999E-4</v>
      </c>
      <c r="I56" s="9">
        <v>1.8699999999999999E-4</v>
      </c>
      <c r="J56" s="7">
        <f t="shared" si="0"/>
        <v>0.90909090909090651</v>
      </c>
      <c r="K56" s="3">
        <f t="shared" si="1"/>
        <v>0.58139534883720767</v>
      </c>
      <c r="L56" s="1">
        <f t="shared" si="2"/>
        <v>0.53475935828876853</v>
      </c>
      <c r="M56" s="9">
        <f t="shared" si="3"/>
        <v>0.67508187207229431</v>
      </c>
      <c r="N56" s="1">
        <f t="shared" si="4"/>
        <v>-0.90909090909090651</v>
      </c>
      <c r="O56" s="9">
        <f t="shared" si="5"/>
        <v>0.58139534883720767</v>
      </c>
      <c r="P56" s="1">
        <f t="shared" si="6"/>
        <v>0.53475935828876853</v>
      </c>
      <c r="Q56" s="9">
        <f t="shared" si="7"/>
        <v>6.9021266011689897E-2</v>
      </c>
    </row>
    <row r="57" spans="1:17" x14ac:dyDescent="0.3">
      <c r="A57" s="8" t="s">
        <v>23</v>
      </c>
      <c r="B57" s="7">
        <v>1</v>
      </c>
      <c r="C57" s="3">
        <v>12</v>
      </c>
      <c r="D57" s="1">
        <v>1.18E-4</v>
      </c>
      <c r="E57" s="9">
        <v>1.1900000000000001E-4</v>
      </c>
      <c r="F57" s="1">
        <v>1.8699999999999999E-4</v>
      </c>
      <c r="G57" s="9">
        <v>1.8599999999999999E-4</v>
      </c>
      <c r="H57" s="1">
        <v>2.03E-4</v>
      </c>
      <c r="I57" s="9">
        <v>2.03E-4</v>
      </c>
      <c r="J57" s="7">
        <f t="shared" si="0"/>
        <v>0.84033613445379052</v>
      </c>
      <c r="K57" s="3">
        <f t="shared" si="1"/>
        <v>0.53763440860214906</v>
      </c>
      <c r="L57" s="1">
        <f t="shared" si="2"/>
        <v>0</v>
      </c>
      <c r="M57" s="9">
        <f t="shared" si="3"/>
        <v>0.45932351435197988</v>
      </c>
      <c r="N57" s="1">
        <f t="shared" si="4"/>
        <v>-0.84033613445379052</v>
      </c>
      <c r="O57" s="9">
        <f t="shared" si="5"/>
        <v>0.53763440860214906</v>
      </c>
      <c r="P57" s="1">
        <f t="shared" si="6"/>
        <v>0</v>
      </c>
      <c r="Q57" s="9">
        <f t="shared" si="7"/>
        <v>-0.10090057528388048</v>
      </c>
    </row>
    <row r="58" spans="1:17" x14ac:dyDescent="0.3">
      <c r="A58" s="8" t="s">
        <v>23</v>
      </c>
      <c r="B58" s="7">
        <v>2</v>
      </c>
      <c r="C58" s="3">
        <v>13</v>
      </c>
      <c r="D58" s="1">
        <v>1.0900000000000001E-4</v>
      </c>
      <c r="E58" s="9">
        <v>1.1E-4</v>
      </c>
      <c r="F58" s="1">
        <v>1.73E-4</v>
      </c>
      <c r="G58" s="9">
        <v>1.7200000000000001E-4</v>
      </c>
      <c r="H58" s="1">
        <v>1.8799999999999999E-4</v>
      </c>
      <c r="I58" s="9">
        <v>1.8799999999999999E-4</v>
      </c>
      <c r="J58" s="7">
        <f t="shared" si="0"/>
        <v>0.90909090909090651</v>
      </c>
      <c r="K58" s="3">
        <f t="shared" si="1"/>
        <v>0.58139534883720767</v>
      </c>
      <c r="L58" s="1">
        <f t="shared" si="2"/>
        <v>0</v>
      </c>
      <c r="M58" s="9">
        <f t="shared" si="3"/>
        <v>0.49682875264270471</v>
      </c>
      <c r="N58" s="1">
        <f t="shared" si="4"/>
        <v>-0.90909090909090651</v>
      </c>
      <c r="O58" s="9">
        <f t="shared" si="5"/>
        <v>0.58139534883720767</v>
      </c>
      <c r="P58" s="1">
        <f t="shared" si="6"/>
        <v>0</v>
      </c>
      <c r="Q58" s="9">
        <f t="shared" si="7"/>
        <v>-0.10923185341789961</v>
      </c>
    </row>
    <row r="59" spans="1:17" x14ac:dyDescent="0.3">
      <c r="A59" s="8" t="s">
        <v>23</v>
      </c>
      <c r="B59" s="7">
        <v>3</v>
      </c>
      <c r="C59" s="3">
        <v>14</v>
      </c>
      <c r="D59" s="1">
        <v>1.01E-4</v>
      </c>
      <c r="E59" s="9">
        <v>1.01E-4</v>
      </c>
      <c r="F59" s="1">
        <v>1.6000000000000001E-4</v>
      </c>
      <c r="G59" s="9">
        <v>1.6000000000000001E-4</v>
      </c>
      <c r="H59" s="1">
        <v>1.74E-4</v>
      </c>
      <c r="I59" s="9">
        <v>1.73E-4</v>
      </c>
      <c r="J59" s="7">
        <f t="shared" si="0"/>
        <v>0</v>
      </c>
      <c r="K59" s="3">
        <f t="shared" si="1"/>
        <v>0</v>
      </c>
      <c r="L59" s="1">
        <f t="shared" si="2"/>
        <v>0.57803468208092323</v>
      </c>
      <c r="M59" s="9">
        <f t="shared" si="3"/>
        <v>0.19267822736030774</v>
      </c>
      <c r="N59" s="1">
        <f t="shared" si="4"/>
        <v>0</v>
      </c>
      <c r="O59" s="9">
        <f t="shared" si="5"/>
        <v>0</v>
      </c>
      <c r="P59" s="1">
        <f t="shared" si="6"/>
        <v>0.57803468208092323</v>
      </c>
      <c r="Q59" s="9">
        <f t="shared" si="7"/>
        <v>0.19267822736030774</v>
      </c>
    </row>
    <row r="60" spans="1:17" x14ac:dyDescent="0.3">
      <c r="A60" s="8" t="s">
        <v>23</v>
      </c>
      <c r="B60" s="7">
        <v>4</v>
      </c>
      <c r="C60" s="3">
        <v>15</v>
      </c>
      <c r="D60" s="1">
        <v>9.3999999999999994E-5</v>
      </c>
      <c r="E60" s="9">
        <v>9.5000000000000005E-5</v>
      </c>
      <c r="F60" s="1">
        <v>1.4899999999999999E-4</v>
      </c>
      <c r="G60" s="9">
        <v>1.4899999999999999E-4</v>
      </c>
      <c r="H60" s="1">
        <v>1.63E-4</v>
      </c>
      <c r="I60" s="9">
        <v>1.6200000000000001E-4</v>
      </c>
      <c r="J60" s="7">
        <f t="shared" si="0"/>
        <v>1.0526315789473797</v>
      </c>
      <c r="K60" s="3">
        <f t="shared" si="1"/>
        <v>0</v>
      </c>
      <c r="L60" s="1">
        <f t="shared" si="2"/>
        <v>0.61728395061728214</v>
      </c>
      <c r="M60" s="9">
        <f t="shared" si="3"/>
        <v>0.55663850985488728</v>
      </c>
      <c r="N60" s="1">
        <f t="shared" si="4"/>
        <v>-1.0526315789473797</v>
      </c>
      <c r="O60" s="9">
        <f t="shared" si="5"/>
        <v>0</v>
      </c>
      <c r="P60" s="1">
        <f t="shared" si="6"/>
        <v>0.61728395061728214</v>
      </c>
      <c r="Q60" s="9">
        <f t="shared" si="7"/>
        <v>-0.14511587611003252</v>
      </c>
    </row>
    <row r="61" spans="1:17" x14ac:dyDescent="0.3">
      <c r="A61" s="8" t="s">
        <v>23</v>
      </c>
      <c r="B61" s="7">
        <v>5</v>
      </c>
      <c r="C61" s="3">
        <v>16</v>
      </c>
      <c r="D61" s="1">
        <v>8.7999999999999998E-5</v>
      </c>
      <c r="E61" s="9">
        <v>8.8999999999999995E-5</v>
      </c>
      <c r="F61" s="1">
        <v>1.3999999999999999E-4</v>
      </c>
      <c r="G61" s="9">
        <v>1.3999999999999999E-4</v>
      </c>
      <c r="H61" s="1">
        <v>1.5200000000000001E-4</v>
      </c>
      <c r="I61" s="9">
        <v>1.5200000000000001E-4</v>
      </c>
      <c r="J61" s="7">
        <f t="shared" si="0"/>
        <v>1.1235955056179745</v>
      </c>
      <c r="K61" s="3">
        <f t="shared" si="1"/>
        <v>0</v>
      </c>
      <c r="L61" s="1">
        <f t="shared" si="2"/>
        <v>0</v>
      </c>
      <c r="M61" s="9">
        <f t="shared" si="3"/>
        <v>0.37453183520599148</v>
      </c>
      <c r="N61" s="1">
        <f t="shared" si="4"/>
        <v>-1.1235955056179745</v>
      </c>
      <c r="O61" s="9">
        <f t="shared" si="5"/>
        <v>0</v>
      </c>
      <c r="P61" s="1">
        <f t="shared" si="6"/>
        <v>0</v>
      </c>
      <c r="Q61" s="9">
        <f t="shared" si="7"/>
        <v>-0.37453183520599148</v>
      </c>
    </row>
    <row r="62" spans="1:17" x14ac:dyDescent="0.3">
      <c r="A62" s="8" t="s">
        <v>24</v>
      </c>
      <c r="B62" s="7">
        <v>1</v>
      </c>
      <c r="C62" s="3">
        <v>1</v>
      </c>
      <c r="D62" s="1">
        <v>1.42E-3</v>
      </c>
      <c r="E62" s="9">
        <v>1.41E-3</v>
      </c>
      <c r="F62" s="1">
        <v>2.2399999999999998E-3</v>
      </c>
      <c r="G62" s="9">
        <v>2.2499999999999998E-3</v>
      </c>
      <c r="H62" s="1">
        <v>2.4399999999999999E-3</v>
      </c>
      <c r="I62" s="9">
        <v>2.4299999999999999E-3</v>
      </c>
      <c r="J62" s="7">
        <f t="shared" si="0"/>
        <v>0.70921985815603017</v>
      </c>
      <c r="K62" s="3">
        <f t="shared" si="1"/>
        <v>0.44444444444444564</v>
      </c>
      <c r="L62" s="1">
        <f t="shared" si="2"/>
        <v>0.41152263374485709</v>
      </c>
      <c r="M62" s="9">
        <f t="shared" si="3"/>
        <v>0.52172897878177771</v>
      </c>
      <c r="N62" s="1">
        <f t="shared" si="4"/>
        <v>0.70921985815603017</v>
      </c>
      <c r="O62" s="9">
        <f t="shared" si="5"/>
        <v>-0.44444444444444564</v>
      </c>
      <c r="P62" s="1">
        <f t="shared" si="6"/>
        <v>0.41152263374485709</v>
      </c>
      <c r="Q62" s="9">
        <f t="shared" si="7"/>
        <v>0.22543268248548054</v>
      </c>
    </row>
    <row r="63" spans="1:17" x14ac:dyDescent="0.3">
      <c r="A63" s="8" t="s">
        <v>24</v>
      </c>
      <c r="B63" s="7">
        <v>2</v>
      </c>
      <c r="C63" s="3">
        <v>2</v>
      </c>
      <c r="D63" s="1">
        <v>7.1100000000000004E-4</v>
      </c>
      <c r="E63" s="9">
        <v>7.0799999999999997E-4</v>
      </c>
      <c r="F63" s="1">
        <v>1.124E-3</v>
      </c>
      <c r="G63" s="9">
        <v>1.1199999999999999E-3</v>
      </c>
      <c r="H63" s="1">
        <v>1.222E-3</v>
      </c>
      <c r="I63" s="9">
        <v>1.2199999999999999E-3</v>
      </c>
      <c r="J63" s="7">
        <f t="shared" si="0"/>
        <v>0.42372881355933234</v>
      </c>
      <c r="K63" s="3">
        <f t="shared" si="1"/>
        <v>0.35714285714286587</v>
      </c>
      <c r="L63" s="1">
        <f t="shared" si="2"/>
        <v>0.16393442622951218</v>
      </c>
      <c r="M63" s="9">
        <f t="shared" si="3"/>
        <v>0.31493536564390345</v>
      </c>
      <c r="N63" s="1">
        <f t="shared" si="4"/>
        <v>0.42372881355933234</v>
      </c>
      <c r="O63" s="9">
        <f t="shared" si="5"/>
        <v>0.35714285714286587</v>
      </c>
      <c r="P63" s="1">
        <f t="shared" si="6"/>
        <v>0.16393442622951218</v>
      </c>
      <c r="Q63" s="9">
        <f t="shared" si="7"/>
        <v>0.31493536564390345</v>
      </c>
    </row>
    <row r="64" spans="1:17" x14ac:dyDescent="0.3">
      <c r="A64" s="8" t="s">
        <v>24</v>
      </c>
      <c r="B64" s="7">
        <v>3</v>
      </c>
      <c r="C64" s="3">
        <v>3</v>
      </c>
      <c r="D64" s="1">
        <v>4.7399999999999997E-4</v>
      </c>
      <c r="E64" s="9">
        <v>4.7100000000000001E-4</v>
      </c>
      <c r="F64" s="1">
        <v>7.4899999999999999E-4</v>
      </c>
      <c r="G64" s="9">
        <v>7.5199999999999996E-4</v>
      </c>
      <c r="H64" s="1">
        <v>8.1499999999999997E-4</v>
      </c>
      <c r="I64" s="9">
        <v>8.1499999999999997E-4</v>
      </c>
      <c r="J64" s="7">
        <f t="shared" si="0"/>
        <v>0.63694267515922809</v>
      </c>
      <c r="K64" s="3">
        <f t="shared" si="1"/>
        <v>0.39893617021276129</v>
      </c>
      <c r="L64" s="1">
        <f t="shared" si="2"/>
        <v>0</v>
      </c>
      <c r="M64" s="9">
        <f t="shared" si="3"/>
        <v>0.34529294845732977</v>
      </c>
      <c r="N64" s="1">
        <f t="shared" si="4"/>
        <v>0.63694267515922809</v>
      </c>
      <c r="O64" s="9">
        <f t="shared" si="5"/>
        <v>-0.39893617021276129</v>
      </c>
      <c r="P64" s="1">
        <f t="shared" si="6"/>
        <v>0</v>
      </c>
      <c r="Q64" s="9">
        <f t="shared" si="7"/>
        <v>7.9335501648822263E-2</v>
      </c>
    </row>
    <row r="65" spans="1:17" x14ac:dyDescent="0.3">
      <c r="A65" s="8" t="s">
        <v>24</v>
      </c>
      <c r="B65" s="7">
        <v>4</v>
      </c>
      <c r="C65" s="3">
        <v>4</v>
      </c>
      <c r="D65" s="1">
        <v>3.5500000000000001E-4</v>
      </c>
      <c r="E65" s="9">
        <v>3.5199999999999999E-4</v>
      </c>
      <c r="F65" s="1">
        <v>5.62E-4</v>
      </c>
      <c r="G65" s="9">
        <v>5.62E-4</v>
      </c>
      <c r="H65" s="1">
        <v>6.11E-4</v>
      </c>
      <c r="I65" s="9">
        <v>6.11E-4</v>
      </c>
      <c r="J65" s="7">
        <f t="shared" si="0"/>
        <v>0.85227272727273262</v>
      </c>
      <c r="K65" s="3">
        <f t="shared" si="1"/>
        <v>0</v>
      </c>
      <c r="L65" s="1">
        <f t="shared" si="2"/>
        <v>0</v>
      </c>
      <c r="M65" s="9">
        <f t="shared" si="3"/>
        <v>0.28409090909091089</v>
      </c>
      <c r="N65" s="1">
        <f t="shared" si="4"/>
        <v>0.85227272727273262</v>
      </c>
      <c r="O65" s="9">
        <f t="shared" si="5"/>
        <v>0</v>
      </c>
      <c r="P65" s="1">
        <f t="shared" si="6"/>
        <v>0</v>
      </c>
      <c r="Q65" s="9">
        <f t="shared" si="7"/>
        <v>0.28409090909091089</v>
      </c>
    </row>
    <row r="66" spans="1:17" x14ac:dyDescent="0.3">
      <c r="A66" s="8" t="s">
        <v>24</v>
      </c>
      <c r="B66" s="7">
        <v>5</v>
      </c>
      <c r="C66" s="3">
        <v>5</v>
      </c>
      <c r="D66" s="1">
        <v>2.8400000000000002E-4</v>
      </c>
      <c r="E66" s="9">
        <v>2.8200000000000002E-4</v>
      </c>
      <c r="F66" s="1">
        <v>4.4900000000000002E-4</v>
      </c>
      <c r="G66" s="9">
        <v>4.4999999999999999E-4</v>
      </c>
      <c r="H66" s="1">
        <v>4.8899999999999996E-4</v>
      </c>
      <c r="I66" s="9">
        <v>4.8799999999999999E-4</v>
      </c>
      <c r="J66" s="7">
        <f t="shared" si="0"/>
        <v>0.70921985815602628</v>
      </c>
      <c r="K66" s="3">
        <f t="shared" si="1"/>
        <v>0.22222222222221558</v>
      </c>
      <c r="L66" s="1">
        <f t="shared" si="2"/>
        <v>0.20491803278687912</v>
      </c>
      <c r="M66" s="9">
        <f t="shared" si="3"/>
        <v>0.37878670438837364</v>
      </c>
      <c r="N66" s="1">
        <f t="shared" si="4"/>
        <v>0.70921985815602628</v>
      </c>
      <c r="O66" s="9">
        <f t="shared" si="5"/>
        <v>-0.22222222222221558</v>
      </c>
      <c r="P66" s="1">
        <f t="shared" si="6"/>
        <v>0.20491803278687912</v>
      </c>
      <c r="Q66" s="9">
        <f t="shared" si="7"/>
        <v>0.23063855624022997</v>
      </c>
    </row>
    <row r="67" spans="1:17" x14ac:dyDescent="0.3">
      <c r="A67" s="8" t="s">
        <v>24</v>
      </c>
      <c r="B67" s="7">
        <v>6</v>
      </c>
      <c r="C67" s="3">
        <v>6</v>
      </c>
      <c r="D67" s="1">
        <v>2.3699999999999999E-4</v>
      </c>
      <c r="E67" s="9">
        <v>2.34E-4</v>
      </c>
      <c r="F67" s="1">
        <v>3.7399999999999998E-4</v>
      </c>
      <c r="G67" s="9">
        <v>3.7500000000000001E-4</v>
      </c>
      <c r="H67" s="1">
        <v>4.0700000000000003E-4</v>
      </c>
      <c r="I67" s="9">
        <v>4.0700000000000003E-4</v>
      </c>
      <c r="J67" s="7">
        <f t="shared" ref="J67:J115" si="8">IF(OR(D67="",E67="",E67=0),"",100*ABS(D67-E67)/ABS(E67))</f>
        <v>1.2820512820512784</v>
      </c>
      <c r="K67" s="3">
        <f t="shared" ref="K67:K115" si="9">IF(OR(F67="",G67="",G67=0),"",100*ABS(F67-G67)/ABS(G67))</f>
        <v>0.26666666666667316</v>
      </c>
      <c r="L67" s="1">
        <f t="shared" ref="L67:L115" si="10">IF(OR(H67="",I67="",I67=0),"",100*ABS(H67-I67)/ABS(I67))</f>
        <v>0</v>
      </c>
      <c r="M67" s="9">
        <f t="shared" ref="M67:M115" si="11">IFERROR(AVERAGE(J67:L67),"")</f>
        <v>0.51623931623931718</v>
      </c>
      <c r="N67" s="1">
        <f t="shared" ref="N67:N115" si="12">IF(OR(D67="",E67="",E67=0),"",100*(D67-E67)/E67)</f>
        <v>1.2820512820512784</v>
      </c>
      <c r="O67" s="9">
        <f t="shared" ref="O67:O115" si="13">IF(OR(F67="",G67="",G67=0),"",100*(F67-G67)/G67)</f>
        <v>-0.26666666666667316</v>
      </c>
      <c r="P67" s="1">
        <f t="shared" ref="P67:P115" si="14">IF(OR(H67="",I67="",I67=0),"",100*(H67-I67)/I67)</f>
        <v>0</v>
      </c>
      <c r="Q67" s="9">
        <f t="shared" ref="Q67:Q115" si="15">IFERROR(AVERAGE(N67:P67),"")</f>
        <v>0.33846153846153504</v>
      </c>
    </row>
    <row r="68" spans="1:17" x14ac:dyDescent="0.3">
      <c r="A68" s="8" t="s">
        <v>24</v>
      </c>
      <c r="B68" s="7">
        <v>7</v>
      </c>
      <c r="C68" s="3">
        <v>12</v>
      </c>
      <c r="D68" s="1">
        <v>1.18E-4</v>
      </c>
      <c r="E68" s="9">
        <v>1.16E-4</v>
      </c>
      <c r="F68" s="1">
        <v>1.8699999999999999E-4</v>
      </c>
      <c r="G68" s="9">
        <v>1.8599999999999999E-4</v>
      </c>
      <c r="H68" s="1">
        <v>2.03E-4</v>
      </c>
      <c r="I68" s="9">
        <v>2.03E-4</v>
      </c>
      <c r="J68" s="7">
        <f t="shared" si="8"/>
        <v>1.724137931034478</v>
      </c>
      <c r="K68" s="3">
        <f t="shared" si="9"/>
        <v>0.53763440860214906</v>
      </c>
      <c r="L68" s="1">
        <f t="shared" si="10"/>
        <v>0</v>
      </c>
      <c r="M68" s="9">
        <f t="shared" si="11"/>
        <v>0.75392411321220898</v>
      </c>
      <c r="N68" s="1">
        <f t="shared" si="12"/>
        <v>1.724137931034478</v>
      </c>
      <c r="O68" s="9">
        <f t="shared" si="13"/>
        <v>0.53763440860214906</v>
      </c>
      <c r="P68" s="1">
        <f t="shared" si="14"/>
        <v>0</v>
      </c>
      <c r="Q68" s="9">
        <f t="shared" si="15"/>
        <v>0.75392411321220898</v>
      </c>
    </row>
    <row r="69" spans="1:17" x14ac:dyDescent="0.3">
      <c r="A69" s="8" t="s">
        <v>24</v>
      </c>
      <c r="B69" s="7">
        <v>8</v>
      </c>
      <c r="C69" s="3">
        <v>14</v>
      </c>
      <c r="D69" s="1">
        <v>1.01E-4</v>
      </c>
      <c r="E69" s="9">
        <v>1.02E-4</v>
      </c>
      <c r="F69" s="1">
        <v>1.6000000000000001E-4</v>
      </c>
      <c r="G69" s="9">
        <v>1.6000000000000001E-4</v>
      </c>
      <c r="H69" s="1">
        <v>1.74E-4</v>
      </c>
      <c r="I69" s="9">
        <v>1.74E-4</v>
      </c>
      <c r="J69" s="7">
        <f t="shared" si="8"/>
        <v>0.98039215686274239</v>
      </c>
      <c r="K69" s="3">
        <f t="shared" si="9"/>
        <v>0</v>
      </c>
      <c r="L69" s="1">
        <f t="shared" si="10"/>
        <v>0</v>
      </c>
      <c r="M69" s="9">
        <f t="shared" si="11"/>
        <v>0.32679738562091415</v>
      </c>
      <c r="N69" s="1">
        <f t="shared" si="12"/>
        <v>-0.98039215686274239</v>
      </c>
      <c r="O69" s="9">
        <f t="shared" si="13"/>
        <v>0</v>
      </c>
      <c r="P69" s="1">
        <f t="shared" si="14"/>
        <v>0</v>
      </c>
      <c r="Q69" s="9">
        <f t="shared" si="15"/>
        <v>-0.32679738562091415</v>
      </c>
    </row>
    <row r="70" spans="1:17" x14ac:dyDescent="0.3">
      <c r="A70" s="8" t="s">
        <v>24</v>
      </c>
      <c r="B70" s="7">
        <v>9</v>
      </c>
      <c r="C70" s="3">
        <v>26</v>
      </c>
      <c r="D70" s="1">
        <v>5.3999999999999998E-5</v>
      </c>
      <c r="E70" s="9">
        <v>5.5000000000000002E-5</v>
      </c>
      <c r="F70" s="1">
        <v>8.6000000000000003E-5</v>
      </c>
      <c r="G70" s="9">
        <v>8.6000000000000003E-5</v>
      </c>
      <c r="H70" s="1">
        <v>9.3999999999999994E-5</v>
      </c>
      <c r="I70" s="9">
        <v>9.2999999999999997E-5</v>
      </c>
      <c r="J70" s="7">
        <f t="shared" si="8"/>
        <v>1.8181818181818254</v>
      </c>
      <c r="K70" s="3">
        <f t="shared" si="9"/>
        <v>0</v>
      </c>
      <c r="L70" s="1">
        <f t="shared" si="10"/>
        <v>1.0752688172042981</v>
      </c>
      <c r="M70" s="9">
        <f t="shared" si="11"/>
        <v>0.96448354512870793</v>
      </c>
      <c r="N70" s="1">
        <f t="shared" si="12"/>
        <v>-1.8181818181818254</v>
      </c>
      <c r="O70" s="9">
        <f t="shared" si="13"/>
        <v>0</v>
      </c>
      <c r="P70" s="1">
        <f t="shared" si="14"/>
        <v>1.0752688172042981</v>
      </c>
      <c r="Q70" s="9">
        <f t="shared" si="15"/>
        <v>-0.24763766699250911</v>
      </c>
    </row>
    <row r="71" spans="1:17" x14ac:dyDescent="0.3">
      <c r="A71" s="8" t="s">
        <v>25</v>
      </c>
      <c r="B71" s="7">
        <v>1</v>
      </c>
      <c r="C71" s="3">
        <v>1</v>
      </c>
      <c r="D71" s="1">
        <v>1.42E-3</v>
      </c>
      <c r="E71" s="9">
        <v>1.41E-3</v>
      </c>
      <c r="F71" s="1">
        <v>2.2399999999999998E-3</v>
      </c>
      <c r="G71" s="9">
        <v>2.2499999999999998E-3</v>
      </c>
      <c r="H71" s="1">
        <v>2.4399999999999999E-3</v>
      </c>
      <c r="I71" s="9">
        <v>2.4399999999999999E-3</v>
      </c>
      <c r="J71" s="7">
        <f t="shared" si="8"/>
        <v>0.70921985815603017</v>
      </c>
      <c r="K71" s="3">
        <f t="shared" si="9"/>
        <v>0.44444444444444564</v>
      </c>
      <c r="L71" s="1">
        <f t="shared" si="10"/>
        <v>0</v>
      </c>
      <c r="M71" s="9">
        <f t="shared" si="11"/>
        <v>0.38455476753349194</v>
      </c>
      <c r="N71" s="1">
        <f t="shared" si="12"/>
        <v>0.70921985815603017</v>
      </c>
      <c r="O71" s="9">
        <f t="shared" si="13"/>
        <v>-0.44444444444444564</v>
      </c>
      <c r="P71" s="1">
        <f t="shared" si="14"/>
        <v>0</v>
      </c>
      <c r="Q71" s="9">
        <f t="shared" si="15"/>
        <v>8.8258471237194838E-2</v>
      </c>
    </row>
    <row r="72" spans="1:17" x14ac:dyDescent="0.3">
      <c r="A72" s="8" t="s">
        <v>25</v>
      </c>
      <c r="B72" s="7">
        <v>2</v>
      </c>
      <c r="C72" s="3">
        <v>2</v>
      </c>
      <c r="D72" s="1">
        <v>7.1100000000000004E-4</v>
      </c>
      <c r="E72" s="9">
        <v>7.0699999999999995E-4</v>
      </c>
      <c r="F72" s="1">
        <v>1.124E-3</v>
      </c>
      <c r="G72" s="9">
        <v>1.1199999999999999E-3</v>
      </c>
      <c r="H72" s="1">
        <v>1.222E-3</v>
      </c>
      <c r="I72" s="9">
        <v>1.2199999999999999E-3</v>
      </c>
      <c r="J72" s="7">
        <f t="shared" si="8"/>
        <v>0.56577086280057953</v>
      </c>
      <c r="K72" s="3">
        <f t="shared" si="9"/>
        <v>0.35714285714286587</v>
      </c>
      <c r="L72" s="1">
        <f t="shared" si="10"/>
        <v>0.16393442622951218</v>
      </c>
      <c r="M72" s="9">
        <f t="shared" si="11"/>
        <v>0.36228271539098583</v>
      </c>
      <c r="N72" s="1">
        <f t="shared" si="12"/>
        <v>0.56577086280057953</v>
      </c>
      <c r="O72" s="9">
        <f t="shared" si="13"/>
        <v>0.35714285714286587</v>
      </c>
      <c r="P72" s="1">
        <f t="shared" si="14"/>
        <v>0.16393442622951218</v>
      </c>
      <c r="Q72" s="9">
        <f t="shared" si="15"/>
        <v>0.36228271539098583</v>
      </c>
    </row>
    <row r="73" spans="1:17" x14ac:dyDescent="0.3">
      <c r="A73" s="8" t="s">
        <v>25</v>
      </c>
      <c r="B73" s="7">
        <v>3</v>
      </c>
      <c r="C73" s="3">
        <v>3</v>
      </c>
      <c r="D73" s="1">
        <v>4.7399999999999997E-4</v>
      </c>
      <c r="E73" s="9">
        <v>4.7100000000000001E-4</v>
      </c>
      <c r="F73" s="1">
        <v>7.4899999999999999E-4</v>
      </c>
      <c r="G73" s="9">
        <v>7.45E-4</v>
      </c>
      <c r="H73" s="1">
        <v>8.1499999999999997E-4</v>
      </c>
      <c r="I73" s="9">
        <v>8.1499999999999997E-4</v>
      </c>
      <c r="J73" s="7">
        <f t="shared" si="8"/>
        <v>0.63694267515922809</v>
      </c>
      <c r="K73" s="3">
        <f t="shared" si="9"/>
        <v>0.5369127516778508</v>
      </c>
      <c r="L73" s="1">
        <f t="shared" si="10"/>
        <v>0</v>
      </c>
      <c r="M73" s="9">
        <f t="shared" si="11"/>
        <v>0.39128514227902628</v>
      </c>
      <c r="N73" s="1">
        <f t="shared" si="12"/>
        <v>0.63694267515922809</v>
      </c>
      <c r="O73" s="9">
        <f t="shared" si="13"/>
        <v>0.5369127516778508</v>
      </c>
      <c r="P73" s="1">
        <f t="shared" si="14"/>
        <v>0</v>
      </c>
      <c r="Q73" s="9">
        <f t="shared" si="15"/>
        <v>0.39128514227902628</v>
      </c>
    </row>
    <row r="74" spans="1:17" x14ac:dyDescent="0.3">
      <c r="A74" s="8" t="s">
        <v>25</v>
      </c>
      <c r="B74" s="7">
        <v>4</v>
      </c>
      <c r="C74" s="3">
        <v>4</v>
      </c>
      <c r="D74" s="1">
        <v>3.5500000000000001E-4</v>
      </c>
      <c r="E74" s="9">
        <v>3.5199999999999999E-4</v>
      </c>
      <c r="F74" s="1">
        <v>5.62E-4</v>
      </c>
      <c r="G74" s="9">
        <v>5.6400000000000005E-4</v>
      </c>
      <c r="H74" s="1">
        <v>6.11E-4</v>
      </c>
      <c r="I74" s="9">
        <v>6.11E-4</v>
      </c>
      <c r="J74" s="7">
        <f t="shared" si="8"/>
        <v>0.85227272727273262</v>
      </c>
      <c r="K74" s="3">
        <f t="shared" si="9"/>
        <v>0.3546099290780228</v>
      </c>
      <c r="L74" s="1">
        <f t="shared" si="10"/>
        <v>0</v>
      </c>
      <c r="M74" s="9">
        <f t="shared" si="11"/>
        <v>0.40229421878358512</v>
      </c>
      <c r="N74" s="1">
        <f t="shared" si="12"/>
        <v>0.85227272727273262</v>
      </c>
      <c r="O74" s="9">
        <f t="shared" si="13"/>
        <v>-0.3546099290780228</v>
      </c>
      <c r="P74" s="1">
        <f t="shared" si="14"/>
        <v>0</v>
      </c>
      <c r="Q74" s="9">
        <f t="shared" si="15"/>
        <v>0.16588759939823661</v>
      </c>
    </row>
    <row r="75" spans="1:17" x14ac:dyDescent="0.3">
      <c r="A75" s="8" t="s">
        <v>25</v>
      </c>
      <c r="B75" s="7">
        <v>5</v>
      </c>
      <c r="C75" s="3">
        <v>5</v>
      </c>
      <c r="D75" s="1">
        <v>2.8400000000000002E-4</v>
      </c>
      <c r="E75" s="9">
        <v>2.8200000000000002E-4</v>
      </c>
      <c r="F75" s="1">
        <v>4.4900000000000002E-4</v>
      </c>
      <c r="G75" s="9">
        <v>4.4999999999999999E-4</v>
      </c>
      <c r="H75" s="1">
        <v>4.8899999999999996E-4</v>
      </c>
      <c r="I75" s="9">
        <v>4.8799999999999999E-4</v>
      </c>
      <c r="J75" s="7">
        <f t="shared" si="8"/>
        <v>0.70921985815602628</v>
      </c>
      <c r="K75" s="3">
        <f t="shared" si="9"/>
        <v>0.22222222222221558</v>
      </c>
      <c r="L75" s="1">
        <f t="shared" si="10"/>
        <v>0.20491803278687912</v>
      </c>
      <c r="M75" s="9">
        <f t="shared" si="11"/>
        <v>0.37878670438837364</v>
      </c>
      <c r="N75" s="1">
        <f t="shared" si="12"/>
        <v>0.70921985815602628</v>
      </c>
      <c r="O75" s="9">
        <f t="shared" si="13"/>
        <v>-0.22222222222221558</v>
      </c>
      <c r="P75" s="1">
        <f t="shared" si="14"/>
        <v>0.20491803278687912</v>
      </c>
      <c r="Q75" s="9">
        <f t="shared" si="15"/>
        <v>0.23063855624022997</v>
      </c>
    </row>
    <row r="76" spans="1:17" x14ac:dyDescent="0.3">
      <c r="A76" s="8" t="s">
        <v>25</v>
      </c>
      <c r="B76" s="7">
        <v>6</v>
      </c>
      <c r="C76" s="3">
        <v>6</v>
      </c>
      <c r="D76" s="1">
        <v>2.3699999999999999E-4</v>
      </c>
      <c r="E76" s="9">
        <v>2.3499999999999999E-4</v>
      </c>
      <c r="F76" s="1">
        <v>3.7399999999999998E-4</v>
      </c>
      <c r="G76" s="9">
        <v>3.7599999999999998E-4</v>
      </c>
      <c r="H76" s="1">
        <v>4.0700000000000003E-4</v>
      </c>
      <c r="I76" s="9">
        <v>4.0700000000000003E-4</v>
      </c>
      <c r="J76" s="7">
        <f t="shared" si="8"/>
        <v>0.85106382978723172</v>
      </c>
      <c r="K76" s="3">
        <f t="shared" si="9"/>
        <v>0.53191489361701982</v>
      </c>
      <c r="L76" s="1">
        <f t="shared" si="10"/>
        <v>0</v>
      </c>
      <c r="M76" s="9">
        <f t="shared" si="11"/>
        <v>0.46099290780141722</v>
      </c>
      <c r="N76" s="1">
        <f t="shared" si="12"/>
        <v>0.85106382978723172</v>
      </c>
      <c r="O76" s="9">
        <f t="shared" si="13"/>
        <v>-0.53191489361701982</v>
      </c>
      <c r="P76" s="1">
        <f t="shared" si="14"/>
        <v>0</v>
      </c>
      <c r="Q76" s="9">
        <f t="shared" si="15"/>
        <v>0.10638297872340396</v>
      </c>
    </row>
    <row r="77" spans="1:17" x14ac:dyDescent="0.3">
      <c r="A77" s="8" t="s">
        <v>25</v>
      </c>
      <c r="B77" s="7">
        <v>7</v>
      </c>
      <c r="C77" s="3">
        <v>8</v>
      </c>
      <c r="D77" s="1">
        <v>1.7699999999999999E-4</v>
      </c>
      <c r="E77" s="9">
        <v>1.75E-4</v>
      </c>
      <c r="F77" s="1">
        <v>2.81E-4</v>
      </c>
      <c r="G77" s="9">
        <v>2.81E-4</v>
      </c>
      <c r="H77" s="1">
        <v>3.0499999999999999E-4</v>
      </c>
      <c r="I77" s="9">
        <v>3.0499999999999999E-4</v>
      </c>
      <c r="J77" s="7">
        <f t="shared" si="8"/>
        <v>1.1428571428571397</v>
      </c>
      <c r="K77" s="3">
        <f t="shared" si="9"/>
        <v>0</v>
      </c>
      <c r="L77" s="1">
        <f t="shared" si="10"/>
        <v>0</v>
      </c>
      <c r="M77" s="9">
        <f t="shared" si="11"/>
        <v>0.38095238095237988</v>
      </c>
      <c r="N77" s="1">
        <f t="shared" si="12"/>
        <v>1.1428571428571397</v>
      </c>
      <c r="O77" s="9">
        <f t="shared" si="13"/>
        <v>0</v>
      </c>
      <c r="P77" s="1">
        <f t="shared" si="14"/>
        <v>0</v>
      </c>
      <c r="Q77" s="9">
        <f t="shared" si="15"/>
        <v>0.38095238095237988</v>
      </c>
    </row>
    <row r="78" spans="1:17" x14ac:dyDescent="0.3">
      <c r="A78" s="8" t="s">
        <v>25</v>
      </c>
      <c r="B78" s="7">
        <v>8</v>
      </c>
      <c r="C78" s="3">
        <v>10</v>
      </c>
      <c r="D78" s="1">
        <v>1.4200000000000001E-4</v>
      </c>
      <c r="E78" s="9">
        <v>1.3999999999999999E-4</v>
      </c>
      <c r="F78" s="1">
        <v>2.24E-4</v>
      </c>
      <c r="G78" s="9">
        <v>2.2499999999999999E-4</v>
      </c>
      <c r="H78" s="1">
        <v>2.4399999999999999E-4</v>
      </c>
      <c r="I78" s="9">
        <v>2.4499999999999999E-4</v>
      </c>
      <c r="J78" s="7">
        <f t="shared" si="8"/>
        <v>1.4285714285714441</v>
      </c>
      <c r="K78" s="3">
        <f t="shared" si="9"/>
        <v>0.4444444444444432</v>
      </c>
      <c r="L78" s="1">
        <f t="shared" si="10"/>
        <v>0.40816326530612135</v>
      </c>
      <c r="M78" s="9">
        <f t="shared" si="11"/>
        <v>0.76039304610733627</v>
      </c>
      <c r="N78" s="1">
        <f t="shared" si="12"/>
        <v>1.4285714285714441</v>
      </c>
      <c r="O78" s="9">
        <f t="shared" si="13"/>
        <v>-0.4444444444444432</v>
      </c>
      <c r="P78" s="1">
        <f t="shared" si="14"/>
        <v>-0.40816326530612135</v>
      </c>
      <c r="Q78" s="9">
        <f t="shared" si="15"/>
        <v>0.19198790627362652</v>
      </c>
    </row>
    <row r="79" spans="1:17" x14ac:dyDescent="0.3">
      <c r="A79" s="8" t="s">
        <v>25</v>
      </c>
      <c r="B79" s="7">
        <v>9</v>
      </c>
      <c r="C79" s="3">
        <v>11</v>
      </c>
      <c r="D79" s="1">
        <v>1.2899999999999999E-4</v>
      </c>
      <c r="E79" s="9">
        <v>1.2799999999999999E-4</v>
      </c>
      <c r="F79" s="1">
        <v>2.04E-4</v>
      </c>
      <c r="G79" s="9">
        <v>2.05E-4</v>
      </c>
      <c r="H79" s="1">
        <v>2.22E-4</v>
      </c>
      <c r="I79" s="9">
        <v>2.22E-4</v>
      </c>
      <c r="J79" s="7">
        <f t="shared" si="8"/>
        <v>0.78124999999999789</v>
      </c>
      <c r="K79" s="3">
        <f t="shared" si="9"/>
        <v>0.48780487804877914</v>
      </c>
      <c r="L79" s="1">
        <f t="shared" si="10"/>
        <v>0</v>
      </c>
      <c r="M79" s="9">
        <f t="shared" si="11"/>
        <v>0.42301829268292562</v>
      </c>
      <c r="N79" s="1">
        <f t="shared" si="12"/>
        <v>0.78124999999999789</v>
      </c>
      <c r="O79" s="9">
        <f t="shared" si="13"/>
        <v>-0.48780487804877914</v>
      </c>
      <c r="P79" s="1">
        <f t="shared" si="14"/>
        <v>0</v>
      </c>
      <c r="Q79" s="9">
        <f t="shared" si="15"/>
        <v>9.7815040650406249E-2</v>
      </c>
    </row>
    <row r="80" spans="1:17" x14ac:dyDescent="0.3">
      <c r="A80" s="8" t="s">
        <v>25</v>
      </c>
      <c r="B80" s="7">
        <v>10</v>
      </c>
      <c r="C80" s="3">
        <v>29</v>
      </c>
      <c r="D80" s="1">
        <v>4.8999999999999998E-5</v>
      </c>
      <c r="E80" s="9">
        <v>4.8999999999999998E-5</v>
      </c>
      <c r="F80" s="1">
        <v>7.7000000000000001E-5</v>
      </c>
      <c r="G80" s="9">
        <v>7.7000000000000001E-5</v>
      </c>
      <c r="H80" s="1">
        <v>8.3999999999999995E-5</v>
      </c>
      <c r="I80" s="9">
        <v>8.3999999999999995E-5</v>
      </c>
      <c r="J80" s="7">
        <f t="shared" si="8"/>
        <v>0</v>
      </c>
      <c r="K80" s="3">
        <f t="shared" si="9"/>
        <v>0</v>
      </c>
      <c r="L80" s="1">
        <f t="shared" si="10"/>
        <v>0</v>
      </c>
      <c r="M80" s="9">
        <f t="shared" si="11"/>
        <v>0</v>
      </c>
      <c r="N80" s="1">
        <f t="shared" si="12"/>
        <v>0</v>
      </c>
      <c r="O80" s="9">
        <f t="shared" si="13"/>
        <v>0</v>
      </c>
      <c r="P80" s="1">
        <f t="shared" si="14"/>
        <v>0</v>
      </c>
      <c r="Q80" s="9">
        <f t="shared" si="15"/>
        <v>0</v>
      </c>
    </row>
    <row r="81" spans="1:17" x14ac:dyDescent="0.3">
      <c r="A81" s="8" t="s">
        <v>26</v>
      </c>
      <c r="B81" s="7">
        <v>1</v>
      </c>
      <c r="C81" s="3">
        <v>1</v>
      </c>
      <c r="D81" s="1">
        <v>1.42E-3</v>
      </c>
      <c r="E81" s="9">
        <v>1.41E-3</v>
      </c>
      <c r="F81" s="1">
        <v>2.2399999999999998E-3</v>
      </c>
      <c r="G81" s="9">
        <v>2.2499999999999998E-3</v>
      </c>
      <c r="H81" s="1">
        <v>2.4399999999999999E-3</v>
      </c>
      <c r="I81" s="9">
        <v>2.4399999999999999E-3</v>
      </c>
      <c r="J81" s="7">
        <f t="shared" si="8"/>
        <v>0.70921985815603017</v>
      </c>
      <c r="K81" s="3">
        <f t="shared" si="9"/>
        <v>0.44444444444444564</v>
      </c>
      <c r="L81" s="1">
        <f t="shared" si="10"/>
        <v>0</v>
      </c>
      <c r="M81" s="9">
        <f t="shared" si="11"/>
        <v>0.38455476753349194</v>
      </c>
      <c r="N81" s="1">
        <f t="shared" si="12"/>
        <v>0.70921985815603017</v>
      </c>
      <c r="O81" s="9">
        <f t="shared" si="13"/>
        <v>-0.44444444444444564</v>
      </c>
      <c r="P81" s="1">
        <f t="shared" si="14"/>
        <v>0</v>
      </c>
      <c r="Q81" s="9">
        <f t="shared" si="15"/>
        <v>8.8258471237194838E-2</v>
      </c>
    </row>
    <row r="82" spans="1:17" x14ac:dyDescent="0.3">
      <c r="A82" s="8" t="s">
        <v>26</v>
      </c>
      <c r="B82" s="7">
        <v>2</v>
      </c>
      <c r="C82" s="3">
        <v>2</v>
      </c>
      <c r="D82" s="1">
        <v>7.1100000000000004E-4</v>
      </c>
      <c r="E82" s="9">
        <v>7.0699999999999995E-4</v>
      </c>
      <c r="F82" s="1">
        <v>1.124E-3</v>
      </c>
      <c r="G82" s="9">
        <v>1.1199999999999999E-3</v>
      </c>
      <c r="H82" s="1">
        <v>1.222E-3</v>
      </c>
      <c r="I82" s="9">
        <v>1.2199999999999999E-3</v>
      </c>
      <c r="J82" s="7">
        <f t="shared" si="8"/>
        <v>0.56577086280057953</v>
      </c>
      <c r="K82" s="3">
        <f t="shared" si="9"/>
        <v>0.35714285714286587</v>
      </c>
      <c r="L82" s="1">
        <f t="shared" si="10"/>
        <v>0.16393442622951218</v>
      </c>
      <c r="M82" s="9">
        <f t="shared" si="11"/>
        <v>0.36228271539098583</v>
      </c>
      <c r="N82" s="1">
        <f t="shared" si="12"/>
        <v>0.56577086280057953</v>
      </c>
      <c r="O82" s="9">
        <f t="shared" si="13"/>
        <v>0.35714285714286587</v>
      </c>
      <c r="P82" s="1">
        <f t="shared" si="14"/>
        <v>0.16393442622951218</v>
      </c>
      <c r="Q82" s="9">
        <f t="shared" si="15"/>
        <v>0.36228271539098583</v>
      </c>
    </row>
    <row r="83" spans="1:17" x14ac:dyDescent="0.3">
      <c r="A83" s="8" t="s">
        <v>26</v>
      </c>
      <c r="B83" s="7">
        <v>3</v>
      </c>
      <c r="C83" s="3">
        <v>3</v>
      </c>
      <c r="D83" s="1">
        <v>4.7399999999999997E-4</v>
      </c>
      <c r="E83" s="9">
        <v>4.7100000000000001E-4</v>
      </c>
      <c r="F83" s="1">
        <v>7.4899999999999999E-4</v>
      </c>
      <c r="G83" s="9">
        <v>7.5199999999999996E-4</v>
      </c>
      <c r="H83" s="1">
        <v>8.1499999999999997E-4</v>
      </c>
      <c r="I83" s="9">
        <v>8.1499999999999997E-4</v>
      </c>
      <c r="J83" s="7">
        <f t="shared" si="8"/>
        <v>0.63694267515922809</v>
      </c>
      <c r="K83" s="3">
        <f t="shared" si="9"/>
        <v>0.39893617021276129</v>
      </c>
      <c r="L83" s="1">
        <f t="shared" si="10"/>
        <v>0</v>
      </c>
      <c r="M83" s="9">
        <f t="shared" si="11"/>
        <v>0.34529294845732977</v>
      </c>
      <c r="N83" s="1">
        <f t="shared" si="12"/>
        <v>0.63694267515922809</v>
      </c>
      <c r="O83" s="9">
        <f t="shared" si="13"/>
        <v>-0.39893617021276129</v>
      </c>
      <c r="P83" s="1">
        <f t="shared" si="14"/>
        <v>0</v>
      </c>
      <c r="Q83" s="9">
        <f t="shared" si="15"/>
        <v>7.9335501648822263E-2</v>
      </c>
    </row>
    <row r="84" spans="1:17" x14ac:dyDescent="0.3">
      <c r="A84" s="8" t="s">
        <v>26</v>
      </c>
      <c r="B84" s="7">
        <v>4</v>
      </c>
      <c r="C84" s="3">
        <v>4</v>
      </c>
      <c r="D84" s="1">
        <v>3.5500000000000001E-4</v>
      </c>
      <c r="E84" s="9">
        <v>3.5300000000000002E-4</v>
      </c>
      <c r="F84" s="1">
        <v>5.62E-4</v>
      </c>
      <c r="G84" s="9">
        <v>5.6300000000000002E-4</v>
      </c>
      <c r="H84" s="1">
        <v>6.11E-4</v>
      </c>
      <c r="I84" s="9">
        <v>6.11E-4</v>
      </c>
      <c r="J84" s="7">
        <f t="shared" si="8"/>
        <v>0.56657223796033829</v>
      </c>
      <c r="K84" s="3">
        <f t="shared" si="9"/>
        <v>0.17761989342806825</v>
      </c>
      <c r="L84" s="1">
        <f t="shared" si="10"/>
        <v>0</v>
      </c>
      <c r="M84" s="9">
        <f t="shared" si="11"/>
        <v>0.24806404379613553</v>
      </c>
      <c r="N84" s="1">
        <f t="shared" si="12"/>
        <v>0.56657223796033829</v>
      </c>
      <c r="O84" s="9">
        <f t="shared" si="13"/>
        <v>-0.17761989342806825</v>
      </c>
      <c r="P84" s="1">
        <f t="shared" si="14"/>
        <v>0</v>
      </c>
      <c r="Q84" s="9">
        <f t="shared" si="15"/>
        <v>0.12965078151075668</v>
      </c>
    </row>
    <row r="85" spans="1:17" x14ac:dyDescent="0.3">
      <c r="A85" s="8" t="s">
        <v>26</v>
      </c>
      <c r="B85" s="7">
        <v>5</v>
      </c>
      <c r="C85" s="3">
        <v>5</v>
      </c>
      <c r="D85" s="1">
        <v>2.8400000000000002E-4</v>
      </c>
      <c r="E85" s="9">
        <v>2.8299999999999999E-4</v>
      </c>
      <c r="F85" s="1">
        <v>4.4900000000000002E-4</v>
      </c>
      <c r="G85" s="9">
        <v>4.5199999999999998E-4</v>
      </c>
      <c r="H85" s="1">
        <v>4.8899999999999996E-4</v>
      </c>
      <c r="I85" s="9">
        <v>4.8899999999999996E-4</v>
      </c>
      <c r="J85" s="7">
        <f t="shared" si="8"/>
        <v>0.35335689045937257</v>
      </c>
      <c r="K85" s="3">
        <f t="shared" si="9"/>
        <v>0.66371681415928419</v>
      </c>
      <c r="L85" s="1">
        <f t="shared" si="10"/>
        <v>0</v>
      </c>
      <c r="M85" s="9">
        <f t="shared" si="11"/>
        <v>0.3390245682062189</v>
      </c>
      <c r="N85" s="1">
        <f t="shared" si="12"/>
        <v>0.35335689045937257</v>
      </c>
      <c r="O85" s="9">
        <f t="shared" si="13"/>
        <v>-0.66371681415928419</v>
      </c>
      <c r="P85" s="1">
        <f t="shared" si="14"/>
        <v>0</v>
      </c>
      <c r="Q85" s="9">
        <f t="shared" si="15"/>
        <v>-0.10345330789997054</v>
      </c>
    </row>
    <row r="86" spans="1:17" x14ac:dyDescent="0.3">
      <c r="A86" s="8" t="s">
        <v>26</v>
      </c>
      <c r="B86" s="7">
        <v>6</v>
      </c>
      <c r="C86" s="3">
        <v>6</v>
      </c>
      <c r="D86" s="1">
        <v>2.3699999999999999E-4</v>
      </c>
      <c r="E86" s="9">
        <v>2.34E-4</v>
      </c>
      <c r="F86" s="1">
        <v>3.7399999999999998E-4</v>
      </c>
      <c r="G86" s="9">
        <v>3.7500000000000001E-4</v>
      </c>
      <c r="H86" s="1">
        <v>4.0700000000000003E-4</v>
      </c>
      <c r="I86" s="9">
        <v>4.0700000000000003E-4</v>
      </c>
      <c r="J86" s="7">
        <f t="shared" si="8"/>
        <v>1.2820512820512784</v>
      </c>
      <c r="K86" s="3">
        <f t="shared" si="9"/>
        <v>0.26666666666667316</v>
      </c>
      <c r="L86" s="1">
        <f t="shared" si="10"/>
        <v>0</v>
      </c>
      <c r="M86" s="9">
        <f t="shared" si="11"/>
        <v>0.51623931623931718</v>
      </c>
      <c r="N86" s="1">
        <f t="shared" si="12"/>
        <v>1.2820512820512784</v>
      </c>
      <c r="O86" s="9">
        <f t="shared" si="13"/>
        <v>-0.26666666666667316</v>
      </c>
      <c r="P86" s="1">
        <f t="shared" si="14"/>
        <v>0</v>
      </c>
      <c r="Q86" s="9">
        <f t="shared" si="15"/>
        <v>0.33846153846153504</v>
      </c>
    </row>
    <row r="87" spans="1:17" x14ac:dyDescent="0.3">
      <c r="A87" s="8" t="s">
        <v>26</v>
      </c>
      <c r="B87" s="7">
        <v>7</v>
      </c>
      <c r="C87" s="3">
        <v>8</v>
      </c>
      <c r="D87" s="1">
        <v>1.7699999999999999E-4</v>
      </c>
      <c r="E87" s="9">
        <v>1.7699999999999999E-4</v>
      </c>
      <c r="F87" s="1">
        <v>2.81E-4</v>
      </c>
      <c r="G87" s="9">
        <v>2.81E-4</v>
      </c>
      <c r="H87" s="1">
        <v>3.0499999999999999E-4</v>
      </c>
      <c r="I87" s="9">
        <v>2.9999999999999997E-4</v>
      </c>
      <c r="J87" s="7">
        <f t="shared" si="8"/>
        <v>0</v>
      </c>
      <c r="K87" s="3">
        <f t="shared" si="9"/>
        <v>0</v>
      </c>
      <c r="L87" s="1">
        <f t="shared" si="10"/>
        <v>1.6666666666666712</v>
      </c>
      <c r="M87" s="9">
        <f t="shared" si="11"/>
        <v>0.55555555555555702</v>
      </c>
      <c r="N87" s="1">
        <f t="shared" si="12"/>
        <v>0</v>
      </c>
      <c r="O87" s="9">
        <f t="shared" si="13"/>
        <v>0</v>
      </c>
      <c r="P87" s="1">
        <f t="shared" si="14"/>
        <v>1.6666666666666712</v>
      </c>
      <c r="Q87" s="9">
        <f t="shared" si="15"/>
        <v>0.55555555555555702</v>
      </c>
    </row>
    <row r="88" spans="1:17" x14ac:dyDescent="0.3">
      <c r="A88" s="8" t="s">
        <v>26</v>
      </c>
      <c r="B88" s="7">
        <v>8</v>
      </c>
      <c r="C88" s="3">
        <v>10</v>
      </c>
      <c r="D88" s="1">
        <v>1.4200000000000001E-4</v>
      </c>
      <c r="E88" s="9">
        <v>1.4200000000000001E-4</v>
      </c>
      <c r="F88" s="1">
        <v>2.24E-4</v>
      </c>
      <c r="G88" s="9">
        <v>2.2499999999999999E-4</v>
      </c>
      <c r="H88" s="1">
        <v>2.4399999999999999E-4</v>
      </c>
      <c r="I88" s="9">
        <v>2.4399999999999999E-4</v>
      </c>
      <c r="J88" s="7">
        <f t="shared" si="8"/>
        <v>0</v>
      </c>
      <c r="K88" s="3">
        <f t="shared" si="9"/>
        <v>0.4444444444444432</v>
      </c>
      <c r="L88" s="1">
        <f t="shared" si="10"/>
        <v>0</v>
      </c>
      <c r="M88" s="9">
        <f t="shared" si="11"/>
        <v>0.14814814814814772</v>
      </c>
      <c r="N88" s="1">
        <f t="shared" si="12"/>
        <v>0</v>
      </c>
      <c r="O88" s="9">
        <f t="shared" si="13"/>
        <v>-0.4444444444444432</v>
      </c>
      <c r="P88" s="1">
        <f t="shared" si="14"/>
        <v>0</v>
      </c>
      <c r="Q88" s="9">
        <f t="shared" si="15"/>
        <v>-0.14814814814814772</v>
      </c>
    </row>
    <row r="89" spans="1:17" x14ac:dyDescent="0.3">
      <c r="A89" s="8" t="s">
        <v>26</v>
      </c>
      <c r="B89" s="7">
        <v>9</v>
      </c>
      <c r="C89" s="3">
        <v>11</v>
      </c>
      <c r="D89" s="1">
        <v>1.2899999999999999E-4</v>
      </c>
      <c r="E89" s="9">
        <v>1.2899999999999999E-4</v>
      </c>
      <c r="F89" s="1">
        <v>2.04E-4</v>
      </c>
      <c r="G89" s="9">
        <v>2.04E-4</v>
      </c>
      <c r="H89" s="1">
        <v>2.22E-4</v>
      </c>
      <c r="I89" s="9">
        <v>2.22E-4</v>
      </c>
      <c r="J89" s="7">
        <f t="shared" si="8"/>
        <v>0</v>
      </c>
      <c r="K89" s="3">
        <f t="shared" si="9"/>
        <v>0</v>
      </c>
      <c r="L89" s="1">
        <f t="shared" si="10"/>
        <v>0</v>
      </c>
      <c r="M89" s="9">
        <f t="shared" si="11"/>
        <v>0</v>
      </c>
      <c r="N89" s="1">
        <f t="shared" si="12"/>
        <v>0</v>
      </c>
      <c r="O89" s="9">
        <f t="shared" si="13"/>
        <v>0</v>
      </c>
      <c r="P89" s="1">
        <f t="shared" si="14"/>
        <v>0</v>
      </c>
      <c r="Q89" s="9">
        <f t="shared" si="15"/>
        <v>0</v>
      </c>
    </row>
    <row r="90" spans="1:17" x14ac:dyDescent="0.3">
      <c r="A90" s="8" t="s">
        <v>26</v>
      </c>
      <c r="B90" s="7">
        <v>10</v>
      </c>
      <c r="C90" s="3">
        <v>16</v>
      </c>
      <c r="D90" s="1">
        <v>8.7999999999999998E-5</v>
      </c>
      <c r="E90" s="9">
        <v>8.8999999999999995E-5</v>
      </c>
      <c r="F90" s="1">
        <v>1.3999999999999999E-4</v>
      </c>
      <c r="G90" s="9">
        <v>1.3999999999999999E-4</v>
      </c>
      <c r="H90" s="1">
        <v>1.5200000000000001E-4</v>
      </c>
      <c r="I90" s="9">
        <v>1.5200000000000001E-4</v>
      </c>
      <c r="J90" s="7">
        <f t="shared" si="8"/>
        <v>1.1235955056179745</v>
      </c>
      <c r="K90" s="3">
        <f t="shared" si="9"/>
        <v>0</v>
      </c>
      <c r="L90" s="1">
        <f t="shared" si="10"/>
        <v>0</v>
      </c>
      <c r="M90" s="9">
        <f t="shared" si="11"/>
        <v>0.37453183520599148</v>
      </c>
      <c r="N90" s="1">
        <f t="shared" si="12"/>
        <v>-1.1235955056179745</v>
      </c>
      <c r="O90" s="9">
        <f t="shared" si="13"/>
        <v>0</v>
      </c>
      <c r="P90" s="1">
        <f t="shared" si="14"/>
        <v>0</v>
      </c>
      <c r="Q90" s="9">
        <f t="shared" si="15"/>
        <v>-0.37453183520599148</v>
      </c>
    </row>
    <row r="91" spans="1:17" x14ac:dyDescent="0.3">
      <c r="A91" s="8" t="s">
        <v>27</v>
      </c>
      <c r="B91" s="7">
        <v>1</v>
      </c>
      <c r="C91" s="3">
        <v>1</v>
      </c>
      <c r="D91" s="1">
        <v>1.42E-3</v>
      </c>
      <c r="E91" s="9">
        <v>1.4E-3</v>
      </c>
      <c r="F91" s="1">
        <v>2.2399999999999998E-3</v>
      </c>
      <c r="G91" s="9">
        <v>2.2499999999999998E-3</v>
      </c>
      <c r="H91" s="1">
        <v>2.4399999999999999E-3</v>
      </c>
      <c r="I91" s="9">
        <v>2.4399999999999999E-3</v>
      </c>
      <c r="J91" s="7">
        <f t="shared" si="8"/>
        <v>1.4285714285714324</v>
      </c>
      <c r="K91" s="3">
        <f t="shared" si="9"/>
        <v>0.44444444444444564</v>
      </c>
      <c r="L91" s="1">
        <f t="shared" si="10"/>
        <v>0</v>
      </c>
      <c r="M91" s="9">
        <f t="shared" si="11"/>
        <v>0.62433862433862597</v>
      </c>
      <c r="N91" s="1">
        <f t="shared" si="12"/>
        <v>1.4285714285714324</v>
      </c>
      <c r="O91" s="9">
        <f t="shared" si="13"/>
        <v>-0.44444444444444564</v>
      </c>
      <c r="P91" s="1">
        <f t="shared" si="14"/>
        <v>0</v>
      </c>
      <c r="Q91" s="9">
        <f t="shared" si="15"/>
        <v>0.32804232804232891</v>
      </c>
    </row>
    <row r="92" spans="1:17" x14ac:dyDescent="0.3">
      <c r="A92" s="8" t="s">
        <v>27</v>
      </c>
      <c r="B92" s="7">
        <v>2</v>
      </c>
      <c r="C92" s="3">
        <v>2</v>
      </c>
      <c r="D92" s="1">
        <v>7.1100000000000004E-4</v>
      </c>
      <c r="E92" s="9">
        <v>7.0699999999999995E-4</v>
      </c>
      <c r="F92" s="1">
        <v>1.124E-3</v>
      </c>
      <c r="G92" s="9">
        <v>1.1199999999999999E-3</v>
      </c>
      <c r="H92" s="1">
        <v>1.222E-3</v>
      </c>
      <c r="I92" s="9">
        <v>1.2199999999999999E-3</v>
      </c>
      <c r="J92" s="7">
        <f t="shared" si="8"/>
        <v>0.56577086280057953</v>
      </c>
      <c r="K92" s="3">
        <f t="shared" si="9"/>
        <v>0.35714285714286587</v>
      </c>
      <c r="L92" s="1">
        <f t="shared" si="10"/>
        <v>0.16393442622951218</v>
      </c>
      <c r="M92" s="9">
        <f t="shared" si="11"/>
        <v>0.36228271539098583</v>
      </c>
      <c r="N92" s="1">
        <f t="shared" si="12"/>
        <v>0.56577086280057953</v>
      </c>
      <c r="O92" s="9">
        <f t="shared" si="13"/>
        <v>0.35714285714286587</v>
      </c>
      <c r="P92" s="1">
        <f t="shared" si="14"/>
        <v>0.16393442622951218</v>
      </c>
      <c r="Q92" s="9">
        <f t="shared" si="15"/>
        <v>0.36228271539098583</v>
      </c>
    </row>
    <row r="93" spans="1:17" x14ac:dyDescent="0.3">
      <c r="A93" s="8" t="s">
        <v>27</v>
      </c>
      <c r="B93" s="7">
        <v>3</v>
      </c>
      <c r="C93" s="3">
        <v>3</v>
      </c>
      <c r="D93" s="1">
        <v>4.7399999999999997E-4</v>
      </c>
      <c r="E93" s="9">
        <v>4.8999999999999998E-4</v>
      </c>
      <c r="F93" s="1">
        <v>7.4899999999999999E-4</v>
      </c>
      <c r="G93" s="9">
        <v>7.5000000000000002E-4</v>
      </c>
      <c r="H93" s="1">
        <v>8.1499999999999997E-4</v>
      </c>
      <c r="I93" s="9">
        <v>8.1499999999999997E-4</v>
      </c>
      <c r="J93" s="7">
        <f t="shared" si="8"/>
        <v>3.2653061224489814</v>
      </c>
      <c r="K93" s="3">
        <f t="shared" si="9"/>
        <v>0.13333333333333658</v>
      </c>
      <c r="L93" s="1">
        <f t="shared" si="10"/>
        <v>0</v>
      </c>
      <c r="M93" s="9">
        <f t="shared" si="11"/>
        <v>1.132879818594106</v>
      </c>
      <c r="N93" s="1">
        <f t="shared" si="12"/>
        <v>-3.2653061224489814</v>
      </c>
      <c r="O93" s="9">
        <f t="shared" si="13"/>
        <v>-0.13333333333333658</v>
      </c>
      <c r="P93" s="1">
        <f t="shared" si="14"/>
        <v>0</v>
      </c>
      <c r="Q93" s="9">
        <f t="shared" si="15"/>
        <v>-1.132879818594106</v>
      </c>
    </row>
    <row r="94" spans="1:17" x14ac:dyDescent="0.3">
      <c r="A94" s="8" t="s">
        <v>27</v>
      </c>
      <c r="B94" s="7">
        <v>4</v>
      </c>
      <c r="C94" s="3">
        <v>4</v>
      </c>
      <c r="D94" s="1">
        <v>3.5500000000000001E-4</v>
      </c>
      <c r="E94" s="9">
        <v>3.5300000000000002E-4</v>
      </c>
      <c r="F94" s="1">
        <v>5.62E-4</v>
      </c>
      <c r="G94" s="9">
        <v>5.6300000000000002E-4</v>
      </c>
      <c r="H94" s="1">
        <v>6.11E-4</v>
      </c>
      <c r="I94" s="9">
        <v>6.1200000000000002E-4</v>
      </c>
      <c r="J94" s="7">
        <f t="shared" si="8"/>
        <v>0.56657223796033829</v>
      </c>
      <c r="K94" s="3">
        <f t="shared" si="9"/>
        <v>0.17761989342806825</v>
      </c>
      <c r="L94" s="1">
        <f t="shared" si="10"/>
        <v>0.16339869281046149</v>
      </c>
      <c r="M94" s="9">
        <f t="shared" si="11"/>
        <v>0.30253027473295602</v>
      </c>
      <c r="N94" s="1">
        <f t="shared" si="12"/>
        <v>0.56657223796033829</v>
      </c>
      <c r="O94" s="9">
        <f t="shared" si="13"/>
        <v>-0.17761989342806825</v>
      </c>
      <c r="P94" s="1">
        <f t="shared" si="14"/>
        <v>-0.16339869281046149</v>
      </c>
      <c r="Q94" s="9">
        <f t="shared" si="15"/>
        <v>7.5184550573936179E-2</v>
      </c>
    </row>
    <row r="95" spans="1:17" x14ac:dyDescent="0.3">
      <c r="A95" s="8" t="s">
        <v>27</v>
      </c>
      <c r="B95" s="7">
        <v>5</v>
      </c>
      <c r="C95" s="3">
        <v>6</v>
      </c>
      <c r="D95" s="1">
        <v>2.3699999999999999E-4</v>
      </c>
      <c r="E95" s="9">
        <v>2.3499999999999999E-4</v>
      </c>
      <c r="F95" s="1">
        <v>3.7399999999999998E-4</v>
      </c>
      <c r="G95" s="9">
        <v>3.7500000000000001E-4</v>
      </c>
      <c r="H95" s="1">
        <v>4.0700000000000003E-4</v>
      </c>
      <c r="I95" s="9">
        <v>4.08E-4</v>
      </c>
      <c r="J95" s="7">
        <f t="shared" si="8"/>
        <v>0.85106382978723172</v>
      </c>
      <c r="K95" s="3">
        <f t="shared" si="9"/>
        <v>0.26666666666667316</v>
      </c>
      <c r="L95" s="1">
        <f t="shared" si="10"/>
        <v>0.24509803921567894</v>
      </c>
      <c r="M95" s="9">
        <f t="shared" si="11"/>
        <v>0.45427617855652797</v>
      </c>
      <c r="N95" s="1">
        <f t="shared" si="12"/>
        <v>0.85106382978723172</v>
      </c>
      <c r="O95" s="9">
        <f t="shared" si="13"/>
        <v>-0.26666666666667316</v>
      </c>
      <c r="P95" s="1">
        <f t="shared" si="14"/>
        <v>-0.24509803921567894</v>
      </c>
      <c r="Q95" s="9">
        <f t="shared" si="15"/>
        <v>0.1130997079682932</v>
      </c>
    </row>
    <row r="96" spans="1:17" x14ac:dyDescent="0.3">
      <c r="A96" s="8" t="s">
        <v>27</v>
      </c>
      <c r="B96" s="7">
        <v>6</v>
      </c>
      <c r="C96" s="3">
        <v>8</v>
      </c>
      <c r="D96" s="1">
        <v>1.7699999999999999E-4</v>
      </c>
      <c r="E96" s="9">
        <v>1.76E-4</v>
      </c>
      <c r="F96" s="1">
        <v>2.81E-4</v>
      </c>
      <c r="G96" s="9">
        <v>2.8200000000000002E-4</v>
      </c>
      <c r="H96" s="1">
        <v>3.0499999999999999E-4</v>
      </c>
      <c r="I96" s="9">
        <v>3.0499999999999999E-4</v>
      </c>
      <c r="J96" s="7">
        <f t="shared" si="8"/>
        <v>0.56818181818181657</v>
      </c>
      <c r="K96" s="3">
        <f t="shared" si="9"/>
        <v>0.3546099290780228</v>
      </c>
      <c r="L96" s="1">
        <f t="shared" si="10"/>
        <v>0</v>
      </c>
      <c r="M96" s="9">
        <f t="shared" si="11"/>
        <v>0.30759724908661312</v>
      </c>
      <c r="N96" s="1">
        <f t="shared" si="12"/>
        <v>0.56818181818181657</v>
      </c>
      <c r="O96" s="9">
        <f t="shared" si="13"/>
        <v>-0.3546099290780228</v>
      </c>
      <c r="P96" s="1">
        <f t="shared" si="14"/>
        <v>0</v>
      </c>
      <c r="Q96" s="9">
        <f t="shared" si="15"/>
        <v>7.1190629701264593E-2</v>
      </c>
    </row>
    <row r="97" spans="1:17" x14ac:dyDescent="0.3">
      <c r="A97" s="8" t="s">
        <v>27</v>
      </c>
      <c r="B97" s="7">
        <v>7</v>
      </c>
      <c r="C97" s="3">
        <v>10</v>
      </c>
      <c r="D97" s="1">
        <v>1.4200000000000001E-4</v>
      </c>
      <c r="E97" s="9">
        <v>1.4200000000000001E-4</v>
      </c>
      <c r="F97" s="1">
        <v>2.24E-4</v>
      </c>
      <c r="G97" s="9">
        <v>2.2499999999999999E-4</v>
      </c>
      <c r="H97" s="1">
        <v>2.4399999999999999E-4</v>
      </c>
      <c r="I97" s="9">
        <v>2.4399999999999999E-4</v>
      </c>
      <c r="J97" s="7">
        <f t="shared" si="8"/>
        <v>0</v>
      </c>
      <c r="K97" s="3">
        <f t="shared" si="9"/>
        <v>0.4444444444444432</v>
      </c>
      <c r="L97" s="1">
        <f t="shared" si="10"/>
        <v>0</v>
      </c>
      <c r="M97" s="9">
        <f t="shared" si="11"/>
        <v>0.14814814814814772</v>
      </c>
      <c r="N97" s="1">
        <f t="shared" si="12"/>
        <v>0</v>
      </c>
      <c r="O97" s="9">
        <f t="shared" si="13"/>
        <v>-0.4444444444444432</v>
      </c>
      <c r="P97" s="1">
        <f t="shared" si="14"/>
        <v>0</v>
      </c>
      <c r="Q97" s="9">
        <f t="shared" si="15"/>
        <v>-0.14814814814814772</v>
      </c>
    </row>
    <row r="98" spans="1:17" x14ac:dyDescent="0.3">
      <c r="A98" s="8" t="s">
        <v>27</v>
      </c>
      <c r="B98" s="7">
        <v>8</v>
      </c>
      <c r="C98" s="3">
        <v>11</v>
      </c>
      <c r="D98" s="1">
        <v>1.2899999999999999E-4</v>
      </c>
      <c r="E98" s="9">
        <v>1.2899999999999999E-4</v>
      </c>
      <c r="F98" s="1">
        <v>2.04E-4</v>
      </c>
      <c r="G98" s="9">
        <v>2.04E-4</v>
      </c>
      <c r="H98" s="1">
        <v>2.22E-4</v>
      </c>
      <c r="I98" s="9">
        <v>2.22E-4</v>
      </c>
      <c r="J98" s="7">
        <f t="shared" si="8"/>
        <v>0</v>
      </c>
      <c r="K98" s="3">
        <f t="shared" si="9"/>
        <v>0</v>
      </c>
      <c r="L98" s="1">
        <f t="shared" si="10"/>
        <v>0</v>
      </c>
      <c r="M98" s="9">
        <f t="shared" si="11"/>
        <v>0</v>
      </c>
      <c r="N98" s="1">
        <f t="shared" si="12"/>
        <v>0</v>
      </c>
      <c r="O98" s="9">
        <f t="shared" si="13"/>
        <v>0</v>
      </c>
      <c r="P98" s="1">
        <f t="shared" si="14"/>
        <v>0</v>
      </c>
      <c r="Q98" s="9">
        <f t="shared" si="15"/>
        <v>0</v>
      </c>
    </row>
    <row r="99" spans="1:17" x14ac:dyDescent="0.3">
      <c r="A99" s="8" t="s">
        <v>27</v>
      </c>
      <c r="B99" s="7">
        <v>9</v>
      </c>
      <c r="C99" s="3">
        <v>12</v>
      </c>
      <c r="D99" s="1">
        <v>1.18E-4</v>
      </c>
      <c r="E99" s="9">
        <v>1.18E-4</v>
      </c>
      <c r="F99" s="1">
        <v>1.8699999999999999E-4</v>
      </c>
      <c r="G99" s="9">
        <v>1.8799999999999999E-4</v>
      </c>
      <c r="H99" s="1">
        <v>2.03E-4</v>
      </c>
      <c r="I99" s="9">
        <v>2.03E-4</v>
      </c>
      <c r="J99" s="7">
        <f t="shared" si="8"/>
        <v>0</v>
      </c>
      <c r="K99" s="3">
        <f t="shared" si="9"/>
        <v>0.53191489361701982</v>
      </c>
      <c r="L99" s="1">
        <f t="shared" si="10"/>
        <v>0</v>
      </c>
      <c r="M99" s="9">
        <f t="shared" si="11"/>
        <v>0.1773049645390066</v>
      </c>
      <c r="N99" s="1">
        <f t="shared" si="12"/>
        <v>0</v>
      </c>
      <c r="O99" s="9">
        <f t="shared" si="13"/>
        <v>-0.53191489361701982</v>
      </c>
      <c r="P99" s="1">
        <f t="shared" si="14"/>
        <v>0</v>
      </c>
      <c r="Q99" s="9">
        <f t="shared" si="15"/>
        <v>-0.1773049645390066</v>
      </c>
    </row>
    <row r="100" spans="1:17" x14ac:dyDescent="0.3">
      <c r="A100" s="8" t="s">
        <v>27</v>
      </c>
      <c r="B100" s="7">
        <v>10</v>
      </c>
      <c r="C100" s="3">
        <v>16</v>
      </c>
      <c r="D100" s="1">
        <v>8.7999999999999998E-5</v>
      </c>
      <c r="E100" s="9">
        <v>8.8999999999999995E-5</v>
      </c>
      <c r="F100" s="1">
        <v>1.3999999999999999E-4</v>
      </c>
      <c r="G100" s="9">
        <v>1.3999999999999999E-4</v>
      </c>
      <c r="H100" s="1">
        <v>1.5200000000000001E-4</v>
      </c>
      <c r="I100" s="9">
        <v>1.5200000000000001E-4</v>
      </c>
      <c r="J100" s="7">
        <f t="shared" si="8"/>
        <v>1.1235955056179745</v>
      </c>
      <c r="K100" s="3">
        <f t="shared" si="9"/>
        <v>0</v>
      </c>
      <c r="L100" s="1">
        <f t="shared" si="10"/>
        <v>0</v>
      </c>
      <c r="M100" s="9">
        <f t="shared" si="11"/>
        <v>0.37453183520599148</v>
      </c>
      <c r="N100" s="1">
        <f t="shared" si="12"/>
        <v>-1.1235955056179745</v>
      </c>
      <c r="O100" s="9">
        <f t="shared" si="13"/>
        <v>0</v>
      </c>
      <c r="P100" s="1">
        <f t="shared" si="14"/>
        <v>0</v>
      </c>
      <c r="Q100" s="9">
        <f t="shared" si="15"/>
        <v>-0.37453183520599148</v>
      </c>
    </row>
    <row r="101" spans="1:17" x14ac:dyDescent="0.3">
      <c r="A101" s="8" t="s">
        <v>27</v>
      </c>
      <c r="B101" s="7">
        <v>11</v>
      </c>
      <c r="C101" s="3">
        <v>18</v>
      </c>
      <c r="D101" s="1">
        <v>7.8999999999999996E-5</v>
      </c>
      <c r="E101" s="9">
        <v>7.7999999999999999E-5</v>
      </c>
      <c r="F101" s="1">
        <v>1.2400000000000001E-4</v>
      </c>
      <c r="G101" s="9">
        <v>1.2400000000000001E-4</v>
      </c>
      <c r="H101" s="1">
        <v>1.35E-4</v>
      </c>
      <c r="I101" s="9">
        <v>1.25E-4</v>
      </c>
      <c r="J101" s="7">
        <f t="shared" si="8"/>
        <v>1.2820512820512784</v>
      </c>
      <c r="K101" s="3">
        <f t="shared" si="9"/>
        <v>0</v>
      </c>
      <c r="L101" s="1">
        <f t="shared" si="10"/>
        <v>8</v>
      </c>
      <c r="M101" s="9">
        <f t="shared" si="11"/>
        <v>3.0940170940170924</v>
      </c>
      <c r="N101" s="1">
        <f t="shared" si="12"/>
        <v>1.2820512820512784</v>
      </c>
      <c r="O101" s="9">
        <f t="shared" si="13"/>
        <v>0</v>
      </c>
      <c r="P101" s="1">
        <f t="shared" si="14"/>
        <v>8</v>
      </c>
      <c r="Q101" s="9">
        <f t="shared" si="15"/>
        <v>3.0940170940170924</v>
      </c>
    </row>
    <row r="102" spans="1:17" x14ac:dyDescent="0.3">
      <c r="A102" s="8" t="s">
        <v>28</v>
      </c>
      <c r="B102" s="7">
        <v>1</v>
      </c>
      <c r="C102" s="3">
        <v>1</v>
      </c>
      <c r="D102" s="1">
        <v>1.42E-3</v>
      </c>
      <c r="E102" s="9">
        <v>1.4E-3</v>
      </c>
      <c r="F102" s="1">
        <v>2.2399999999999998E-3</v>
      </c>
      <c r="G102" s="9">
        <v>2.2399999999999998E-3</v>
      </c>
      <c r="H102" s="1">
        <v>2.4399999999999999E-3</v>
      </c>
      <c r="I102" s="9">
        <v>2.4399999999999999E-3</v>
      </c>
      <c r="J102" s="7">
        <f t="shared" si="8"/>
        <v>1.4285714285714324</v>
      </c>
      <c r="K102" s="3">
        <f t="shared" si="9"/>
        <v>0</v>
      </c>
      <c r="L102" s="1">
        <f t="shared" si="10"/>
        <v>0</v>
      </c>
      <c r="M102" s="9">
        <f t="shared" si="11"/>
        <v>0.47619047619047744</v>
      </c>
      <c r="N102" s="1">
        <f t="shared" si="12"/>
        <v>1.4285714285714324</v>
      </c>
      <c r="O102" s="9">
        <f t="shared" si="13"/>
        <v>0</v>
      </c>
      <c r="P102" s="1">
        <f t="shared" si="14"/>
        <v>0</v>
      </c>
      <c r="Q102" s="9">
        <f t="shared" si="15"/>
        <v>0.47619047619047744</v>
      </c>
    </row>
    <row r="103" spans="1:17" x14ac:dyDescent="0.3">
      <c r="A103" s="8" t="s">
        <v>28</v>
      </c>
      <c r="B103" s="7">
        <v>2</v>
      </c>
      <c r="C103" s="3">
        <v>2</v>
      </c>
      <c r="D103" s="1">
        <v>7.1100000000000004E-4</v>
      </c>
      <c r="E103" s="9">
        <v>7.0699999999999995E-4</v>
      </c>
      <c r="F103" s="1">
        <v>1.1199999999999999E-3</v>
      </c>
      <c r="G103" s="9">
        <v>1.1199999999999999E-3</v>
      </c>
      <c r="H103" s="1">
        <v>1.222E-3</v>
      </c>
      <c r="I103" s="9">
        <v>1.2199999999999999E-3</v>
      </c>
      <c r="J103" s="7">
        <f t="shared" si="8"/>
        <v>0.56577086280057953</v>
      </c>
      <c r="K103" s="3">
        <f t="shared" si="9"/>
        <v>0</v>
      </c>
      <c r="L103" s="1">
        <f t="shared" si="10"/>
        <v>0.16393442622951218</v>
      </c>
      <c r="M103" s="9">
        <f t="shared" si="11"/>
        <v>0.2432350963433639</v>
      </c>
      <c r="N103" s="1">
        <f t="shared" si="12"/>
        <v>0.56577086280057953</v>
      </c>
      <c r="O103" s="9">
        <f t="shared" si="13"/>
        <v>0</v>
      </c>
      <c r="P103" s="1">
        <f t="shared" si="14"/>
        <v>0.16393442622951218</v>
      </c>
      <c r="Q103" s="9">
        <f t="shared" si="15"/>
        <v>0.2432350963433639</v>
      </c>
    </row>
    <row r="104" spans="1:17" x14ac:dyDescent="0.3">
      <c r="A104" s="8" t="s">
        <v>28</v>
      </c>
      <c r="B104" s="7">
        <v>3</v>
      </c>
      <c r="C104" s="3">
        <v>3</v>
      </c>
      <c r="D104" s="1">
        <v>4.7399999999999997E-4</v>
      </c>
      <c r="E104" s="9">
        <v>4.7100000000000001E-4</v>
      </c>
      <c r="F104" s="1">
        <v>7.4899999999999999E-4</v>
      </c>
      <c r="G104" s="9">
        <v>7.5000000000000002E-4</v>
      </c>
      <c r="H104" s="1">
        <v>8.1499999999999997E-4</v>
      </c>
      <c r="I104" s="9">
        <v>8.1499999999999997E-4</v>
      </c>
      <c r="J104" s="7">
        <f t="shared" si="8"/>
        <v>0.63694267515922809</v>
      </c>
      <c r="K104" s="3">
        <f t="shared" si="9"/>
        <v>0.13333333333333658</v>
      </c>
      <c r="L104" s="1">
        <f t="shared" si="10"/>
        <v>0</v>
      </c>
      <c r="M104" s="9">
        <f t="shared" si="11"/>
        <v>0.25675866949752152</v>
      </c>
      <c r="N104" s="1">
        <f t="shared" si="12"/>
        <v>0.63694267515922809</v>
      </c>
      <c r="O104" s="9">
        <f t="shared" si="13"/>
        <v>-0.13333333333333658</v>
      </c>
      <c r="P104" s="1">
        <f t="shared" si="14"/>
        <v>0</v>
      </c>
      <c r="Q104" s="9">
        <f t="shared" si="15"/>
        <v>0.16786978060863053</v>
      </c>
    </row>
    <row r="105" spans="1:17" x14ac:dyDescent="0.3">
      <c r="A105" s="8" t="s">
        <v>28</v>
      </c>
      <c r="B105" s="7">
        <v>4</v>
      </c>
      <c r="C105" s="3">
        <v>4</v>
      </c>
      <c r="D105" s="1">
        <v>3.5500000000000001E-4</v>
      </c>
      <c r="E105" s="9">
        <v>3.5300000000000002E-4</v>
      </c>
      <c r="F105" s="1">
        <v>5.62E-4</v>
      </c>
      <c r="G105" s="9">
        <v>5.6300000000000002E-4</v>
      </c>
      <c r="H105" s="1">
        <v>6.11E-4</v>
      </c>
      <c r="I105" s="9">
        <v>6.0999999999999997E-4</v>
      </c>
      <c r="J105" s="7">
        <f t="shared" si="8"/>
        <v>0.56657223796033829</v>
      </c>
      <c r="K105" s="3">
        <f t="shared" si="9"/>
        <v>0.17761989342806825</v>
      </c>
      <c r="L105" s="1">
        <f t="shared" si="10"/>
        <v>0.16393442622951218</v>
      </c>
      <c r="M105" s="9">
        <f t="shared" si="11"/>
        <v>0.30270885253930624</v>
      </c>
      <c r="N105" s="1">
        <f t="shared" si="12"/>
        <v>0.56657223796033829</v>
      </c>
      <c r="O105" s="9">
        <f t="shared" si="13"/>
        <v>-0.17761989342806825</v>
      </c>
      <c r="P105" s="1">
        <f t="shared" si="14"/>
        <v>0.16393442622951218</v>
      </c>
      <c r="Q105" s="9">
        <f t="shared" si="15"/>
        <v>0.18429559025392739</v>
      </c>
    </row>
    <row r="106" spans="1:17" x14ac:dyDescent="0.3">
      <c r="A106" s="8" t="s">
        <v>28</v>
      </c>
      <c r="B106" s="7">
        <v>5</v>
      </c>
      <c r="C106" s="3">
        <v>6</v>
      </c>
      <c r="D106" s="1">
        <v>2.3699999999999999E-4</v>
      </c>
      <c r="E106" s="9">
        <v>2.3499999999999999E-4</v>
      </c>
      <c r="F106" s="1">
        <v>3.7399999999999998E-4</v>
      </c>
      <c r="G106" s="9">
        <v>3.7500000000000001E-4</v>
      </c>
      <c r="H106" s="1">
        <v>4.0700000000000003E-4</v>
      </c>
      <c r="I106" s="9">
        <v>4.0700000000000003E-4</v>
      </c>
      <c r="J106" s="7">
        <f t="shared" si="8"/>
        <v>0.85106382978723172</v>
      </c>
      <c r="K106" s="3">
        <f t="shared" si="9"/>
        <v>0.26666666666667316</v>
      </c>
      <c r="L106" s="1">
        <f t="shared" si="10"/>
        <v>0</v>
      </c>
      <c r="M106" s="9">
        <f t="shared" si="11"/>
        <v>0.37257683215130166</v>
      </c>
      <c r="N106" s="1">
        <f t="shared" si="12"/>
        <v>0.85106382978723172</v>
      </c>
      <c r="O106" s="9">
        <f t="shared" si="13"/>
        <v>-0.26666666666667316</v>
      </c>
      <c r="P106" s="1">
        <f t="shared" si="14"/>
        <v>0</v>
      </c>
      <c r="Q106" s="9">
        <f t="shared" si="15"/>
        <v>0.19479905437351952</v>
      </c>
    </row>
    <row r="107" spans="1:17" x14ac:dyDescent="0.3">
      <c r="A107" s="8" t="s">
        <v>28</v>
      </c>
      <c r="B107" s="7">
        <v>6</v>
      </c>
      <c r="C107" s="3">
        <v>10</v>
      </c>
      <c r="D107" s="1">
        <v>1.4200000000000001E-4</v>
      </c>
      <c r="E107" s="9">
        <v>1.4200000000000001E-4</v>
      </c>
      <c r="F107" s="1">
        <v>2.24E-4</v>
      </c>
      <c r="G107" s="9">
        <v>2.2499999999999999E-4</v>
      </c>
      <c r="H107" s="1">
        <v>2.4399999999999999E-4</v>
      </c>
      <c r="I107" s="9">
        <v>2.4399999999999999E-4</v>
      </c>
      <c r="J107" s="7">
        <f t="shared" si="8"/>
        <v>0</v>
      </c>
      <c r="K107" s="3">
        <f t="shared" si="9"/>
        <v>0.4444444444444432</v>
      </c>
      <c r="L107" s="1">
        <f t="shared" si="10"/>
        <v>0</v>
      </c>
      <c r="M107" s="9">
        <f t="shared" si="11"/>
        <v>0.14814814814814772</v>
      </c>
      <c r="N107" s="1">
        <f t="shared" si="12"/>
        <v>0</v>
      </c>
      <c r="O107" s="9">
        <f t="shared" si="13"/>
        <v>-0.4444444444444432</v>
      </c>
      <c r="P107" s="1">
        <f t="shared" si="14"/>
        <v>0</v>
      </c>
      <c r="Q107" s="9">
        <f t="shared" si="15"/>
        <v>-0.14814814814814772</v>
      </c>
    </row>
    <row r="108" spans="1:17" x14ac:dyDescent="0.3">
      <c r="A108" s="8" t="s">
        <v>28</v>
      </c>
      <c r="B108" s="7">
        <v>7</v>
      </c>
      <c r="C108" s="3">
        <v>11</v>
      </c>
      <c r="D108" s="1">
        <v>1.2899999999999999E-4</v>
      </c>
      <c r="E108" s="9">
        <v>1.2999999999999999E-4</v>
      </c>
      <c r="F108" s="1">
        <v>2.04E-4</v>
      </c>
      <c r="G108" s="9">
        <v>2.04E-4</v>
      </c>
      <c r="H108" s="1">
        <v>2.22E-4</v>
      </c>
      <c r="I108" s="9">
        <v>2.23E-4</v>
      </c>
      <c r="J108" s="7">
        <f t="shared" si="8"/>
        <v>0.76923076923076716</v>
      </c>
      <c r="K108" s="3">
        <f t="shared" si="9"/>
        <v>0</v>
      </c>
      <c r="L108" s="1">
        <f t="shared" si="10"/>
        <v>0.44843049327354134</v>
      </c>
      <c r="M108" s="9">
        <f t="shared" si="11"/>
        <v>0.40588708750143621</v>
      </c>
      <c r="N108" s="1">
        <f t="shared" si="12"/>
        <v>-0.76923076923076716</v>
      </c>
      <c r="O108" s="9">
        <f t="shared" si="13"/>
        <v>0</v>
      </c>
      <c r="P108" s="1">
        <f t="shared" si="14"/>
        <v>-0.44843049327354134</v>
      </c>
      <c r="Q108" s="9">
        <f t="shared" si="15"/>
        <v>-0.40588708750143621</v>
      </c>
    </row>
    <row r="109" spans="1:17" x14ac:dyDescent="0.3">
      <c r="A109" s="8" t="s">
        <v>28</v>
      </c>
      <c r="B109" s="7">
        <v>8</v>
      </c>
      <c r="C109" s="3">
        <v>13</v>
      </c>
      <c r="D109" s="1">
        <v>1.0900000000000001E-4</v>
      </c>
      <c r="E109" s="9">
        <v>1.1E-4</v>
      </c>
      <c r="F109" s="1">
        <v>1.73E-4</v>
      </c>
      <c r="G109" s="9">
        <v>1.75E-4</v>
      </c>
      <c r="H109" s="1">
        <v>1.8799999999999999E-4</v>
      </c>
      <c r="I109" s="9">
        <v>1.8799999999999999E-4</v>
      </c>
      <c r="J109" s="7">
        <f t="shared" si="8"/>
        <v>0.90909090909090651</v>
      </c>
      <c r="K109" s="3">
        <f t="shared" si="9"/>
        <v>1.1428571428571397</v>
      </c>
      <c r="L109" s="1">
        <f t="shared" si="10"/>
        <v>0</v>
      </c>
      <c r="M109" s="9">
        <f t="shared" si="11"/>
        <v>0.68398268398268203</v>
      </c>
      <c r="N109" s="1">
        <f t="shared" si="12"/>
        <v>-0.90909090909090651</v>
      </c>
      <c r="O109" s="9">
        <f t="shared" si="13"/>
        <v>-1.1428571428571397</v>
      </c>
      <c r="P109" s="1">
        <f t="shared" si="14"/>
        <v>0</v>
      </c>
      <c r="Q109" s="9">
        <f t="shared" si="15"/>
        <v>-0.68398268398268203</v>
      </c>
    </row>
    <row r="110" spans="1:17" x14ac:dyDescent="0.3">
      <c r="A110" s="8" t="s">
        <v>28</v>
      </c>
      <c r="B110" s="7">
        <v>9</v>
      </c>
      <c r="C110" s="3">
        <v>14</v>
      </c>
      <c r="D110" s="1">
        <v>1.01E-4</v>
      </c>
      <c r="E110" s="9">
        <v>1.01E-4</v>
      </c>
      <c r="F110" s="1">
        <v>1.6000000000000001E-4</v>
      </c>
      <c r="G110" s="9">
        <v>1.6100000000000001E-4</v>
      </c>
      <c r="H110" s="1">
        <v>1.74E-4</v>
      </c>
      <c r="I110" s="9">
        <v>1.74E-4</v>
      </c>
      <c r="J110" s="7">
        <f t="shared" si="8"/>
        <v>0</v>
      </c>
      <c r="K110" s="3">
        <f t="shared" si="9"/>
        <v>0.62111801242235842</v>
      </c>
      <c r="L110" s="1">
        <f t="shared" si="10"/>
        <v>0</v>
      </c>
      <c r="M110" s="9">
        <f t="shared" si="11"/>
        <v>0.20703933747411948</v>
      </c>
      <c r="N110" s="1">
        <f t="shared" si="12"/>
        <v>0</v>
      </c>
      <c r="O110" s="9">
        <f t="shared" si="13"/>
        <v>-0.62111801242235842</v>
      </c>
      <c r="P110" s="1">
        <f t="shared" si="14"/>
        <v>0</v>
      </c>
      <c r="Q110" s="9">
        <f t="shared" si="15"/>
        <v>-0.20703933747411948</v>
      </c>
    </row>
    <row r="111" spans="1:17" x14ac:dyDescent="0.3">
      <c r="A111" s="8" t="s">
        <v>28</v>
      </c>
      <c r="B111" s="7">
        <v>10</v>
      </c>
      <c r="C111" s="3">
        <v>15</v>
      </c>
      <c r="D111" s="1">
        <v>9.3999999999999994E-5</v>
      </c>
      <c r="E111" s="9">
        <v>9.3999999999999994E-5</v>
      </c>
      <c r="F111" s="1">
        <v>1.4899999999999999E-4</v>
      </c>
      <c r="G111" s="9">
        <v>1.4899999999999999E-4</v>
      </c>
      <c r="H111" s="1">
        <v>1.63E-4</v>
      </c>
      <c r="I111" s="9">
        <v>1.63E-4</v>
      </c>
      <c r="J111" s="7">
        <f t="shared" si="8"/>
        <v>0</v>
      </c>
      <c r="K111" s="3">
        <f t="shared" si="9"/>
        <v>0</v>
      </c>
      <c r="L111" s="1">
        <f t="shared" si="10"/>
        <v>0</v>
      </c>
      <c r="M111" s="9">
        <f t="shared" si="11"/>
        <v>0</v>
      </c>
      <c r="N111" s="1">
        <f t="shared" si="12"/>
        <v>0</v>
      </c>
      <c r="O111" s="9">
        <f t="shared" si="13"/>
        <v>0</v>
      </c>
      <c r="P111" s="1">
        <f t="shared" si="14"/>
        <v>0</v>
      </c>
      <c r="Q111" s="9">
        <f t="shared" si="15"/>
        <v>0</v>
      </c>
    </row>
    <row r="112" spans="1:17" x14ac:dyDescent="0.3">
      <c r="A112" s="8" t="s">
        <v>28</v>
      </c>
      <c r="B112" s="7">
        <v>11</v>
      </c>
      <c r="C112" s="3">
        <v>17</v>
      </c>
      <c r="D112" s="1">
        <v>8.2999999999999998E-5</v>
      </c>
      <c r="E112" s="9">
        <v>8.2999999999999998E-5</v>
      </c>
      <c r="F112" s="1">
        <v>1.3200000000000001E-4</v>
      </c>
      <c r="G112" s="9">
        <v>1.3200000000000001E-4</v>
      </c>
      <c r="H112" s="1">
        <v>1.4300000000000001E-4</v>
      </c>
      <c r="I112" s="9">
        <v>1.4300000000000001E-4</v>
      </c>
      <c r="J112" s="7">
        <f t="shared" si="8"/>
        <v>0</v>
      </c>
      <c r="K112" s="3">
        <f t="shared" si="9"/>
        <v>0</v>
      </c>
      <c r="L112" s="1">
        <f t="shared" si="10"/>
        <v>0</v>
      </c>
      <c r="M112" s="9">
        <f t="shared" si="11"/>
        <v>0</v>
      </c>
      <c r="N112" s="1">
        <f t="shared" si="12"/>
        <v>0</v>
      </c>
      <c r="O112" s="9">
        <f t="shared" si="13"/>
        <v>0</v>
      </c>
      <c r="P112" s="1">
        <f t="shared" si="14"/>
        <v>0</v>
      </c>
      <c r="Q112" s="9">
        <f t="shared" si="15"/>
        <v>0</v>
      </c>
    </row>
    <row r="113" spans="1:17" x14ac:dyDescent="0.3">
      <c r="A113" s="8" t="s">
        <v>28</v>
      </c>
      <c r="B113" s="7">
        <v>12</v>
      </c>
      <c r="C113" s="3">
        <v>20</v>
      </c>
      <c r="D113" s="1">
        <v>7.1000000000000005E-5</v>
      </c>
      <c r="E113" s="9">
        <v>6.9999999999999994E-5</v>
      </c>
      <c r="F113" s="1">
        <v>1.12E-4</v>
      </c>
      <c r="G113" s="9">
        <v>1.12E-4</v>
      </c>
      <c r="H113" s="1">
        <v>1.22E-4</v>
      </c>
      <c r="I113" s="9">
        <v>1.22E-4</v>
      </c>
      <c r="J113" s="7">
        <f t="shared" si="8"/>
        <v>1.4285714285714441</v>
      </c>
      <c r="K113" s="3">
        <f t="shared" si="9"/>
        <v>0</v>
      </c>
      <c r="L113" s="1">
        <f t="shared" si="10"/>
        <v>0</v>
      </c>
      <c r="M113" s="9">
        <f t="shared" si="11"/>
        <v>0.47619047619048138</v>
      </c>
      <c r="N113" s="1">
        <f t="shared" si="12"/>
        <v>1.4285714285714441</v>
      </c>
      <c r="O113" s="9">
        <f t="shared" si="13"/>
        <v>0</v>
      </c>
      <c r="P113" s="1">
        <f t="shared" si="14"/>
        <v>0</v>
      </c>
      <c r="Q113" s="9">
        <f t="shared" si="15"/>
        <v>0.47619047619048138</v>
      </c>
    </row>
    <row r="114" spans="1:17" x14ac:dyDescent="0.3">
      <c r="A114" s="8" t="s">
        <v>32</v>
      </c>
      <c r="B114" s="7">
        <v>1</v>
      </c>
      <c r="C114" s="3">
        <v>1</v>
      </c>
      <c r="D114" s="1">
        <v>1.42E-3</v>
      </c>
      <c r="E114" s="9">
        <v>1.42E-3</v>
      </c>
      <c r="F114" s="1">
        <v>2.2399999999999998E-3</v>
      </c>
      <c r="G114" s="9">
        <v>2.2399999999999998E-3</v>
      </c>
      <c r="H114" s="1">
        <v>2.4399999999999999E-3</v>
      </c>
      <c r="I114" s="9">
        <v>2.4099999999999998E-3</v>
      </c>
      <c r="J114" s="7">
        <f t="shared" si="8"/>
        <v>0</v>
      </c>
      <c r="K114" s="3">
        <f t="shared" si="9"/>
        <v>0</v>
      </c>
      <c r="L114" s="1">
        <f t="shared" si="10"/>
        <v>1.2448132780083021</v>
      </c>
      <c r="M114" s="9">
        <f t="shared" si="11"/>
        <v>0.41493775933610072</v>
      </c>
      <c r="N114" s="1">
        <f t="shared" si="12"/>
        <v>0</v>
      </c>
      <c r="O114" s="9">
        <f t="shared" si="13"/>
        <v>0</v>
      </c>
      <c r="P114" s="1">
        <f t="shared" si="14"/>
        <v>1.2448132780083021</v>
      </c>
      <c r="Q114" s="9">
        <f t="shared" si="15"/>
        <v>0.41493775933610072</v>
      </c>
    </row>
    <row r="115" spans="1:17" x14ac:dyDescent="0.3">
      <c r="A115" s="8" t="s">
        <v>32</v>
      </c>
      <c r="B115" s="7">
        <v>2</v>
      </c>
      <c r="C115" s="3">
        <v>99</v>
      </c>
      <c r="D115" s="1">
        <v>1.4E-5</v>
      </c>
      <c r="E115" s="9">
        <v>1.4E-5</v>
      </c>
      <c r="F115" s="1">
        <v>2.1999999999999999E-5</v>
      </c>
      <c r="G115" s="9">
        <v>2.1999999999999999E-5</v>
      </c>
      <c r="H115" s="1">
        <v>2.4700000000000001E-5</v>
      </c>
      <c r="I115" s="9">
        <v>2.4000000000000001E-5</v>
      </c>
      <c r="J115" s="7">
        <f t="shared" si="8"/>
        <v>0</v>
      </c>
      <c r="K115" s="3">
        <f t="shared" si="9"/>
        <v>0</v>
      </c>
      <c r="L115" s="1">
        <f t="shared" si="10"/>
        <v>2.916666666666667</v>
      </c>
      <c r="M115" s="9">
        <f t="shared" si="11"/>
        <v>0.97222222222222232</v>
      </c>
      <c r="N115" s="1">
        <f t="shared" si="12"/>
        <v>0</v>
      </c>
      <c r="O115" s="9">
        <f t="shared" si="13"/>
        <v>0</v>
      </c>
      <c r="P115" s="1">
        <f t="shared" si="14"/>
        <v>2.916666666666667</v>
      </c>
      <c r="Q115" s="9">
        <f t="shared" si="15"/>
        <v>0.97222222222222232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5"/>
  <sheetViews>
    <sheetView tabSelected="1" workbookViewId="0">
      <selection activeCell="M5" sqref="M5"/>
    </sheetView>
  </sheetViews>
  <sheetFormatPr defaultRowHeight="14.4" x14ac:dyDescent="0.3"/>
  <cols>
    <col min="1" max="1" width="10.33203125" bestFit="1" customWidth="1"/>
    <col min="2" max="2" width="8" customWidth="1"/>
    <col min="3" max="3" width="6.5546875" bestFit="1" customWidth="1"/>
    <col min="4" max="4" width="11" customWidth="1"/>
    <col min="5" max="5" width="9.77734375" bestFit="1" customWidth="1"/>
    <col min="6" max="6" width="11" customWidth="1"/>
    <col min="7" max="7" width="9.77734375" bestFit="1" customWidth="1"/>
    <col min="8" max="9" width="16.5546875" bestFit="1" customWidth="1"/>
    <col min="10" max="10" width="18.5546875" bestFit="1" customWidth="1"/>
    <col min="11" max="12" width="22.88671875" bestFit="1" customWidth="1"/>
    <col min="13" max="13" width="24" bestFit="1" customWidth="1"/>
  </cols>
  <sheetData>
    <row r="1" spans="1:13" x14ac:dyDescent="0.3">
      <c r="A1" s="8" t="s">
        <v>30</v>
      </c>
      <c r="B1" s="6" t="s">
        <v>42</v>
      </c>
      <c r="C1" s="4" t="s">
        <v>41</v>
      </c>
      <c r="D1" s="6" t="s">
        <v>31</v>
      </c>
      <c r="E1" s="8" t="s">
        <v>3</v>
      </c>
      <c r="F1" s="6" t="s">
        <v>4</v>
      </c>
      <c r="G1" s="4" t="s">
        <v>5</v>
      </c>
      <c r="H1" s="6" t="s">
        <v>33</v>
      </c>
      <c r="I1" s="8" t="s">
        <v>34</v>
      </c>
      <c r="J1" s="6" t="s">
        <v>36</v>
      </c>
      <c r="K1" s="4" t="s">
        <v>37</v>
      </c>
      <c r="L1" s="6" t="s">
        <v>38</v>
      </c>
      <c r="M1" s="8" t="s">
        <v>40</v>
      </c>
    </row>
    <row r="2" spans="1:13" x14ac:dyDescent="0.3">
      <c r="A2" s="8" t="s">
        <v>8</v>
      </c>
      <c r="B2" s="7" t="s">
        <v>43</v>
      </c>
      <c r="C2" s="3">
        <v>99</v>
      </c>
      <c r="D2" s="1">
        <v>1.6200000000000001E-4</v>
      </c>
      <c r="E2" s="9">
        <v>1.63E-4</v>
      </c>
      <c r="F2" s="1">
        <v>2.2399999999999999E-5</v>
      </c>
      <c r="G2" s="9">
        <v>2.3200000000000001E-5</v>
      </c>
      <c r="H2" s="1">
        <f>IF(OR(D2="",E2="",E2=0),"",100*ABS(D2-E2)/ABS(E2))</f>
        <v>0.61349693251533566</v>
      </c>
      <c r="I2" s="9">
        <f>IF(OR(F2="",G2="",G2=0),"",100*ABS(F2-G2)/ABS(G2))</f>
        <v>3.448275862068976</v>
      </c>
      <c r="J2" s="7">
        <f>IFERROR(AVERAGE(H2:I2),"")</f>
        <v>2.0308863972921558</v>
      </c>
      <c r="K2" s="3">
        <f>IF(OR(D2="",E2="",E2=0),"",100*(D2-E2)/E2)</f>
        <v>-0.61349693251533566</v>
      </c>
      <c r="L2" s="1">
        <f>IF(OR(F2="",G2="",G2=0),"",100*(F2-G2)/G2)</f>
        <v>-3.448275862068976</v>
      </c>
      <c r="M2" s="9">
        <f>IFERROR(AVERAGE(K2:L2),"")</f>
        <v>-2.0308863972921558</v>
      </c>
    </row>
    <row r="3" spans="1:13" x14ac:dyDescent="0.3">
      <c r="A3" s="8" t="s">
        <v>9</v>
      </c>
      <c r="B3" s="7" t="s">
        <v>43</v>
      </c>
      <c r="C3" s="3">
        <v>4</v>
      </c>
      <c r="D3" s="1">
        <v>4.0000000000000001E-3</v>
      </c>
      <c r="E3" s="9">
        <v>4.0299999999999997E-3</v>
      </c>
      <c r="F3" s="1">
        <v>5.5500000000000005E-4</v>
      </c>
      <c r="G3" s="9">
        <v>5.6999999999999998E-4</v>
      </c>
      <c r="H3" s="1">
        <f t="shared" ref="H3:H66" si="0">IF(OR(D3="",E3="",E3=0),"",100*ABS(D3-E3)/ABS(E3))</f>
        <v>0.74441687344912277</v>
      </c>
      <c r="I3" s="9">
        <f t="shared" ref="I3:I66" si="1">IF(OR(F3="",G3="",G3=0),"",100*ABS(F3-G3)/ABS(G3))</f>
        <v>2.6315789473684092</v>
      </c>
      <c r="J3" s="7">
        <f t="shared" ref="J3:J66" si="2">IFERROR(AVERAGE(H3:I3),"")</f>
        <v>1.6879979104087659</v>
      </c>
      <c r="K3" s="3">
        <f t="shared" ref="K3:K66" si="3">IF(OR(D3="",E3="",E3=0),"",100*(D3-E3)/E3)</f>
        <v>-0.74441687344912277</v>
      </c>
      <c r="L3" s="1">
        <f t="shared" ref="L3:L66" si="4">IF(OR(F3="",G3="",G3=0),"",100*(F3-G3)/G3)</f>
        <v>-2.6315789473684092</v>
      </c>
      <c r="M3" s="9">
        <f t="shared" ref="M3:M66" si="5">IFERROR(AVERAGE(K3:L3),"")</f>
        <v>-1.6879979104087659</v>
      </c>
    </row>
    <row r="4" spans="1:13" x14ac:dyDescent="0.3">
      <c r="A4" s="8" t="s">
        <v>10</v>
      </c>
      <c r="B4" s="7" t="s">
        <v>43</v>
      </c>
      <c r="C4" s="3">
        <v>8</v>
      </c>
      <c r="D4" s="1">
        <v>2E-3</v>
      </c>
      <c r="E4" s="9">
        <v>2.0200000000000001E-3</v>
      </c>
      <c r="F4" s="1">
        <v>2.7799999999999998E-4</v>
      </c>
      <c r="G4" s="9">
        <v>2.9E-4</v>
      </c>
      <c r="H4" s="1">
        <f t="shared" si="0"/>
        <v>0.99009900990099264</v>
      </c>
      <c r="I4" s="9">
        <f t="shared" si="1"/>
        <v>4.137931034482766</v>
      </c>
      <c r="J4" s="7">
        <f t="shared" si="2"/>
        <v>2.5640150221918794</v>
      </c>
      <c r="K4" s="3">
        <f t="shared" si="3"/>
        <v>-0.99009900990099264</v>
      </c>
      <c r="L4" s="1">
        <f t="shared" si="4"/>
        <v>-4.137931034482766</v>
      </c>
      <c r="M4" s="9">
        <f t="shared" si="5"/>
        <v>-2.5640150221918794</v>
      </c>
    </row>
    <row r="5" spans="1:13" x14ac:dyDescent="0.3">
      <c r="A5" s="8" t="s">
        <v>11</v>
      </c>
      <c r="B5" s="7" t="s">
        <v>43</v>
      </c>
      <c r="C5" s="3">
        <v>12</v>
      </c>
      <c r="D5" s="1">
        <v>1.33E-3</v>
      </c>
      <c r="E5" s="9">
        <v>1.3500000000000001E-3</v>
      </c>
      <c r="F5" s="1">
        <v>1.85E-4</v>
      </c>
      <c r="G5" s="9">
        <v>1.9000000000000001E-4</v>
      </c>
      <c r="H5" s="1">
        <f t="shared" si="0"/>
        <v>1.4814814814814854</v>
      </c>
      <c r="I5" s="9">
        <f t="shared" si="1"/>
        <v>2.6315789473684279</v>
      </c>
      <c r="J5" s="7">
        <f t="shared" si="2"/>
        <v>2.0565302144249564</v>
      </c>
      <c r="K5" s="3">
        <f t="shared" si="3"/>
        <v>-1.4814814814814854</v>
      </c>
      <c r="L5" s="1">
        <f t="shared" si="4"/>
        <v>-2.6315789473684279</v>
      </c>
      <c r="M5" s="9">
        <f t="shared" si="5"/>
        <v>-2.0565302144249564</v>
      </c>
    </row>
    <row r="6" spans="1:13" x14ac:dyDescent="0.3">
      <c r="A6" s="8" t="s">
        <v>12</v>
      </c>
      <c r="B6" s="7" t="s">
        <v>43</v>
      </c>
      <c r="C6" s="3">
        <v>16</v>
      </c>
      <c r="D6" s="1">
        <v>1E-3</v>
      </c>
      <c r="E6" s="9">
        <v>1.01E-3</v>
      </c>
      <c r="F6" s="1">
        <v>1.3899999999999999E-4</v>
      </c>
      <c r="G6" s="9">
        <v>1.45E-4</v>
      </c>
      <c r="H6" s="1">
        <f t="shared" si="0"/>
        <v>0.99009900990099264</v>
      </c>
      <c r="I6" s="9">
        <f t="shared" si="1"/>
        <v>4.137931034482766</v>
      </c>
      <c r="J6" s="7">
        <f t="shared" si="2"/>
        <v>2.5640150221918794</v>
      </c>
      <c r="K6" s="3">
        <f t="shared" si="3"/>
        <v>-0.99009900990099264</v>
      </c>
      <c r="L6" s="1">
        <f t="shared" si="4"/>
        <v>-4.137931034482766</v>
      </c>
      <c r="M6" s="9">
        <f t="shared" si="5"/>
        <v>-2.5640150221918794</v>
      </c>
    </row>
    <row r="7" spans="1:13" x14ac:dyDescent="0.3">
      <c r="A7" s="8" t="s">
        <v>13</v>
      </c>
      <c r="B7" s="7" t="s">
        <v>43</v>
      </c>
      <c r="C7" s="3">
        <v>20</v>
      </c>
      <c r="D7" s="1">
        <v>8.0000000000000004E-4</v>
      </c>
      <c r="E7" s="9">
        <v>8.0999999999999996E-4</v>
      </c>
      <c r="F7" s="1">
        <v>1.11E-4</v>
      </c>
      <c r="G7" s="9">
        <v>1.2E-4</v>
      </c>
      <c r="H7" s="1">
        <f t="shared" si="0"/>
        <v>1.2345679012345578</v>
      </c>
      <c r="I7" s="9">
        <f t="shared" si="1"/>
        <v>7.5000000000000018</v>
      </c>
      <c r="J7" s="7">
        <f t="shared" si="2"/>
        <v>4.3672839506172796</v>
      </c>
      <c r="K7" s="3">
        <f t="shared" si="3"/>
        <v>-1.2345679012345578</v>
      </c>
      <c r="L7" s="1">
        <f t="shared" si="4"/>
        <v>-7.5000000000000018</v>
      </c>
      <c r="M7" s="9">
        <f t="shared" si="5"/>
        <v>-4.3672839506172796</v>
      </c>
    </row>
    <row r="8" spans="1:13" x14ac:dyDescent="0.3">
      <c r="A8" s="8" t="s">
        <v>14</v>
      </c>
      <c r="B8" s="7">
        <v>1</v>
      </c>
      <c r="C8" s="3">
        <v>13</v>
      </c>
      <c r="D8" s="1">
        <v>1.23E-3</v>
      </c>
      <c r="E8" s="9">
        <v>1.24E-3</v>
      </c>
      <c r="F8" s="1">
        <v>1.7100000000000001E-4</v>
      </c>
      <c r="G8" s="9">
        <v>1.7100000000000001E-4</v>
      </c>
      <c r="H8" s="1">
        <f t="shared" si="0"/>
        <v>0.80645161290322798</v>
      </c>
      <c r="I8" s="9">
        <f t="shared" si="1"/>
        <v>0</v>
      </c>
      <c r="J8" s="7">
        <f t="shared" si="2"/>
        <v>0.40322580645161399</v>
      </c>
      <c r="K8" s="3">
        <f t="shared" si="3"/>
        <v>-0.80645161290322798</v>
      </c>
      <c r="L8" s="1">
        <f t="shared" si="4"/>
        <v>0</v>
      </c>
      <c r="M8" s="9">
        <f t="shared" si="5"/>
        <v>-0.40322580645161399</v>
      </c>
    </row>
    <row r="9" spans="1:13" x14ac:dyDescent="0.3">
      <c r="A9" s="8" t="s">
        <v>14</v>
      </c>
      <c r="B9" s="7">
        <v>2</v>
      </c>
      <c r="C9" s="3">
        <v>14</v>
      </c>
      <c r="D9" s="1">
        <v>1.14E-3</v>
      </c>
      <c r="E9" s="9">
        <v>1.15E-3</v>
      </c>
      <c r="F9" s="1">
        <v>1.5899999999999999E-4</v>
      </c>
      <c r="G9" s="9">
        <v>1.5899999999999999E-4</v>
      </c>
      <c r="H9" s="1">
        <f t="shared" si="0"/>
        <v>0.86956521739130666</v>
      </c>
      <c r="I9" s="9">
        <f t="shared" si="1"/>
        <v>0</v>
      </c>
      <c r="J9" s="7">
        <f t="shared" si="2"/>
        <v>0.43478260869565333</v>
      </c>
      <c r="K9" s="3">
        <f t="shared" si="3"/>
        <v>-0.86956521739130666</v>
      </c>
      <c r="L9" s="1">
        <f t="shared" si="4"/>
        <v>0</v>
      </c>
      <c r="M9" s="9">
        <f t="shared" si="5"/>
        <v>-0.43478260869565333</v>
      </c>
    </row>
    <row r="10" spans="1:13" x14ac:dyDescent="0.3">
      <c r="A10" s="8" t="s">
        <v>14</v>
      </c>
      <c r="B10" s="7">
        <v>3</v>
      </c>
      <c r="C10" s="3">
        <v>15</v>
      </c>
      <c r="D10" s="1">
        <v>1.07E-3</v>
      </c>
      <c r="E10" s="9">
        <v>1.08E-3</v>
      </c>
      <c r="F10" s="1">
        <v>1.4799999999999999E-4</v>
      </c>
      <c r="G10" s="9">
        <v>1.4799999999999999E-4</v>
      </c>
      <c r="H10" s="1">
        <f t="shared" si="0"/>
        <v>0.92592592592592837</v>
      </c>
      <c r="I10" s="9">
        <f t="shared" si="1"/>
        <v>0</v>
      </c>
      <c r="J10" s="7">
        <f t="shared" si="2"/>
        <v>0.46296296296296419</v>
      </c>
      <c r="K10" s="3">
        <f t="shared" si="3"/>
        <v>-0.92592592592592837</v>
      </c>
      <c r="L10" s="1">
        <f t="shared" si="4"/>
        <v>0</v>
      </c>
      <c r="M10" s="9">
        <f t="shared" si="5"/>
        <v>-0.46296296296296419</v>
      </c>
    </row>
    <row r="11" spans="1:13" x14ac:dyDescent="0.3">
      <c r="A11" s="8" t="s">
        <v>14</v>
      </c>
      <c r="B11" s="7">
        <v>4</v>
      </c>
      <c r="C11" s="3">
        <v>16</v>
      </c>
      <c r="D11" s="1">
        <v>1E-3</v>
      </c>
      <c r="E11" s="9">
        <v>1.01E-3</v>
      </c>
      <c r="F11" s="1">
        <v>1.3899999999999999E-4</v>
      </c>
      <c r="G11" s="9">
        <v>1.3999999999999999E-4</v>
      </c>
      <c r="H11" s="1">
        <f t="shared" si="0"/>
        <v>0.99009900990099264</v>
      </c>
      <c r="I11" s="9">
        <f t="shared" si="1"/>
        <v>0.7142857142857123</v>
      </c>
      <c r="J11" s="7">
        <f t="shared" si="2"/>
        <v>0.85219236209335247</v>
      </c>
      <c r="K11" s="3">
        <f t="shared" si="3"/>
        <v>-0.99009900990099264</v>
      </c>
      <c r="L11" s="1">
        <f t="shared" si="4"/>
        <v>-0.7142857142857123</v>
      </c>
      <c r="M11" s="9">
        <f t="shared" si="5"/>
        <v>-0.85219236209335247</v>
      </c>
    </row>
    <row r="12" spans="1:13" x14ac:dyDescent="0.3">
      <c r="A12" s="8" t="s">
        <v>14</v>
      </c>
      <c r="B12" s="7">
        <v>5</v>
      </c>
      <c r="C12" s="3">
        <v>17</v>
      </c>
      <c r="D12" s="1">
        <v>9.41E-4</v>
      </c>
      <c r="E12" s="9">
        <v>9.5E-4</v>
      </c>
      <c r="F12" s="1">
        <v>1.3100000000000001E-4</v>
      </c>
      <c r="G12" s="9">
        <v>1.2999999999999999E-4</v>
      </c>
      <c r="H12" s="1">
        <f t="shared" si="0"/>
        <v>0.94736842105263175</v>
      </c>
      <c r="I12" s="9">
        <f t="shared" si="1"/>
        <v>0.76923076923078804</v>
      </c>
      <c r="J12" s="7">
        <f t="shared" si="2"/>
        <v>0.85829959514170984</v>
      </c>
      <c r="K12" s="3">
        <f t="shared" si="3"/>
        <v>-0.94736842105263175</v>
      </c>
      <c r="L12" s="1">
        <f t="shared" si="4"/>
        <v>0.76923076923078804</v>
      </c>
      <c r="M12" s="9">
        <f t="shared" si="5"/>
        <v>-8.9068825910921856E-2</v>
      </c>
    </row>
    <row r="13" spans="1:13" x14ac:dyDescent="0.3">
      <c r="A13" s="8" t="s">
        <v>14</v>
      </c>
      <c r="B13" s="7">
        <v>6</v>
      </c>
      <c r="C13" s="3">
        <v>18</v>
      </c>
      <c r="D13" s="1">
        <v>8.8900000000000003E-4</v>
      </c>
      <c r="E13" s="9">
        <v>8.9999999999999998E-4</v>
      </c>
      <c r="F13" s="1">
        <v>1.2300000000000001E-4</v>
      </c>
      <c r="G13" s="9">
        <v>1.25E-4</v>
      </c>
      <c r="H13" s="1">
        <f t="shared" si="0"/>
        <v>1.2222222222222159</v>
      </c>
      <c r="I13" s="9">
        <f t="shared" si="1"/>
        <v>1.5999999999999954</v>
      </c>
      <c r="J13" s="7">
        <f t="shared" si="2"/>
        <v>1.4111111111111057</v>
      </c>
      <c r="K13" s="3">
        <f t="shared" si="3"/>
        <v>-1.2222222222222159</v>
      </c>
      <c r="L13" s="1">
        <f t="shared" si="4"/>
        <v>-1.5999999999999954</v>
      </c>
      <c r="M13" s="9">
        <f t="shared" si="5"/>
        <v>-1.4111111111111057</v>
      </c>
    </row>
    <row r="14" spans="1:13" x14ac:dyDescent="0.3">
      <c r="A14" s="8" t="s">
        <v>14</v>
      </c>
      <c r="B14" s="7">
        <v>7</v>
      </c>
      <c r="C14" s="3">
        <v>19</v>
      </c>
      <c r="D14" s="1">
        <v>8.4199999999999998E-4</v>
      </c>
      <c r="E14" s="9">
        <v>8.4999999999999995E-4</v>
      </c>
      <c r="F14" s="1">
        <v>1.17E-4</v>
      </c>
      <c r="G14" s="9">
        <v>1.2E-4</v>
      </c>
      <c r="H14" s="1">
        <f t="shared" si="0"/>
        <v>0.94117647058823273</v>
      </c>
      <c r="I14" s="9">
        <f t="shared" si="1"/>
        <v>2.5000000000000044</v>
      </c>
      <c r="J14" s="7">
        <f t="shared" si="2"/>
        <v>1.7205882352941186</v>
      </c>
      <c r="K14" s="3">
        <f t="shared" si="3"/>
        <v>-0.94117647058823273</v>
      </c>
      <c r="L14" s="1">
        <f t="shared" si="4"/>
        <v>-2.5000000000000044</v>
      </c>
      <c r="M14" s="9">
        <f t="shared" si="5"/>
        <v>-1.7205882352941186</v>
      </c>
    </row>
    <row r="15" spans="1:13" x14ac:dyDescent="0.3">
      <c r="A15" s="8" t="s">
        <v>14</v>
      </c>
      <c r="B15" s="7">
        <v>8</v>
      </c>
      <c r="C15" s="3">
        <v>20</v>
      </c>
      <c r="D15" s="1">
        <v>8.0000000000000004E-4</v>
      </c>
      <c r="E15" s="9">
        <v>8.0999999999999996E-4</v>
      </c>
      <c r="F15" s="1">
        <v>1.11E-4</v>
      </c>
      <c r="G15" s="9">
        <v>1.15E-4</v>
      </c>
      <c r="H15" s="1">
        <f t="shared" si="0"/>
        <v>1.2345679012345578</v>
      </c>
      <c r="I15" s="9">
        <f t="shared" si="1"/>
        <v>3.4782608695652195</v>
      </c>
      <c r="J15" s="7">
        <f t="shared" si="2"/>
        <v>2.3564143853998889</v>
      </c>
      <c r="K15" s="3">
        <f t="shared" si="3"/>
        <v>-1.2345679012345578</v>
      </c>
      <c r="L15" s="1">
        <f t="shared" si="4"/>
        <v>-3.4782608695652195</v>
      </c>
      <c r="M15" s="9">
        <f t="shared" si="5"/>
        <v>-2.3564143853998889</v>
      </c>
    </row>
    <row r="16" spans="1:13" x14ac:dyDescent="0.3">
      <c r="A16" s="8" t="s">
        <v>15</v>
      </c>
      <c r="B16" s="7">
        <v>1</v>
      </c>
      <c r="C16" s="3">
        <v>11</v>
      </c>
      <c r="D16" s="1">
        <v>1.4499999999999999E-3</v>
      </c>
      <c r="E16" s="9">
        <v>1.47E-3</v>
      </c>
      <c r="F16" s="1">
        <v>2.02E-4</v>
      </c>
      <c r="G16" s="9">
        <v>2.1000000000000001E-4</v>
      </c>
      <c r="H16" s="1">
        <f t="shared" si="0"/>
        <v>1.3605442176870783</v>
      </c>
      <c r="I16" s="9">
        <f t="shared" si="1"/>
        <v>3.8095238095238115</v>
      </c>
      <c r="J16" s="7">
        <f t="shared" si="2"/>
        <v>2.585034013605445</v>
      </c>
      <c r="K16" s="3">
        <f t="shared" si="3"/>
        <v>-1.3605442176870783</v>
      </c>
      <c r="L16" s="1">
        <f t="shared" si="4"/>
        <v>-3.8095238095238115</v>
      </c>
      <c r="M16" s="9">
        <f t="shared" si="5"/>
        <v>-2.585034013605445</v>
      </c>
    </row>
    <row r="17" spans="1:13" x14ac:dyDescent="0.3">
      <c r="A17" s="8" t="s">
        <v>15</v>
      </c>
      <c r="B17" s="7">
        <v>2</v>
      </c>
      <c r="C17" s="3">
        <v>12</v>
      </c>
      <c r="D17" s="1">
        <v>1.33E-3</v>
      </c>
      <c r="E17" s="9">
        <v>1.34E-3</v>
      </c>
      <c r="F17" s="1">
        <v>1.85E-4</v>
      </c>
      <c r="G17" s="9">
        <v>1.95E-4</v>
      </c>
      <c r="H17" s="1">
        <f t="shared" si="0"/>
        <v>0.74626865671641984</v>
      </c>
      <c r="I17" s="9">
        <f t="shared" si="1"/>
        <v>5.1282051282051286</v>
      </c>
      <c r="J17" s="7">
        <f t="shared" si="2"/>
        <v>2.9372368924607741</v>
      </c>
      <c r="K17" s="3">
        <f t="shared" si="3"/>
        <v>-0.74626865671641984</v>
      </c>
      <c r="L17" s="1">
        <f t="shared" si="4"/>
        <v>-5.1282051282051286</v>
      </c>
      <c r="M17" s="9">
        <f t="shared" si="5"/>
        <v>-2.9372368924607741</v>
      </c>
    </row>
    <row r="18" spans="1:13" x14ac:dyDescent="0.3">
      <c r="A18" s="8" t="s">
        <v>15</v>
      </c>
      <c r="B18" s="7">
        <v>3</v>
      </c>
      <c r="C18" s="3">
        <v>13</v>
      </c>
      <c r="D18" s="1">
        <v>1.23E-3</v>
      </c>
      <c r="E18" s="9">
        <v>1.24E-3</v>
      </c>
      <c r="F18" s="1">
        <v>1.7100000000000001E-4</v>
      </c>
      <c r="G18" s="9">
        <v>1.8000000000000001E-4</v>
      </c>
      <c r="H18" s="1">
        <f t="shared" si="0"/>
        <v>0.80645161290322798</v>
      </c>
      <c r="I18" s="9">
        <f t="shared" si="1"/>
        <v>5.0000000000000009</v>
      </c>
      <c r="J18" s="7">
        <f t="shared" si="2"/>
        <v>2.9032258064516143</v>
      </c>
      <c r="K18" s="3">
        <f t="shared" si="3"/>
        <v>-0.80645161290322798</v>
      </c>
      <c r="L18" s="1">
        <f t="shared" si="4"/>
        <v>-5.0000000000000009</v>
      </c>
      <c r="M18" s="9">
        <f t="shared" si="5"/>
        <v>-2.9032258064516143</v>
      </c>
    </row>
    <row r="19" spans="1:13" x14ac:dyDescent="0.3">
      <c r="A19" s="8" t="s">
        <v>15</v>
      </c>
      <c r="B19" s="7">
        <v>4</v>
      </c>
      <c r="C19" s="3">
        <v>14</v>
      </c>
      <c r="D19" s="1">
        <v>1.14E-3</v>
      </c>
      <c r="E19" s="9">
        <v>1.15E-3</v>
      </c>
      <c r="F19" s="1">
        <v>1.5899999999999999E-4</v>
      </c>
      <c r="G19" s="9">
        <v>1.65E-4</v>
      </c>
      <c r="H19" s="1">
        <f t="shared" si="0"/>
        <v>0.86956521739130666</v>
      </c>
      <c r="I19" s="9">
        <f t="shared" si="1"/>
        <v>3.6363636363636425</v>
      </c>
      <c r="J19" s="7">
        <f t="shared" si="2"/>
        <v>2.2529644268774747</v>
      </c>
      <c r="K19" s="3">
        <f t="shared" si="3"/>
        <v>-0.86956521739130666</v>
      </c>
      <c r="L19" s="1">
        <f t="shared" si="4"/>
        <v>-3.6363636363636425</v>
      </c>
      <c r="M19" s="9">
        <f t="shared" si="5"/>
        <v>-2.2529644268774747</v>
      </c>
    </row>
    <row r="20" spans="1:13" x14ac:dyDescent="0.3">
      <c r="A20" s="8" t="s">
        <v>15</v>
      </c>
      <c r="B20" s="7">
        <v>5</v>
      </c>
      <c r="C20" s="3">
        <v>15</v>
      </c>
      <c r="D20" s="1">
        <v>1.07E-3</v>
      </c>
      <c r="E20" s="9">
        <v>1.08E-3</v>
      </c>
      <c r="F20" s="1">
        <v>1.4799999999999999E-4</v>
      </c>
      <c r="G20" s="9">
        <v>1.4999999999999999E-4</v>
      </c>
      <c r="H20" s="1">
        <f t="shared" si="0"/>
        <v>0.92592592592592837</v>
      </c>
      <c r="I20" s="9">
        <f t="shared" si="1"/>
        <v>1.3333333333333297</v>
      </c>
      <c r="J20" s="7">
        <f t="shared" si="2"/>
        <v>1.1296296296296291</v>
      </c>
      <c r="K20" s="3">
        <f t="shared" si="3"/>
        <v>-0.92592592592592837</v>
      </c>
      <c r="L20" s="1">
        <f t="shared" si="4"/>
        <v>-1.3333333333333297</v>
      </c>
      <c r="M20" s="9">
        <f t="shared" si="5"/>
        <v>-1.1296296296296291</v>
      </c>
    </row>
    <row r="21" spans="1:13" x14ac:dyDescent="0.3">
      <c r="A21" s="8" t="s">
        <v>15</v>
      </c>
      <c r="B21" s="7">
        <v>6</v>
      </c>
      <c r="C21" s="3">
        <v>16</v>
      </c>
      <c r="D21" s="1">
        <v>1E-3</v>
      </c>
      <c r="E21" s="9">
        <v>1.01E-3</v>
      </c>
      <c r="F21" s="1">
        <v>1.3899999999999999E-4</v>
      </c>
      <c r="G21" s="9">
        <v>1.3999999999999999E-4</v>
      </c>
      <c r="H21" s="1">
        <f t="shared" si="0"/>
        <v>0.99009900990099264</v>
      </c>
      <c r="I21" s="9">
        <f t="shared" si="1"/>
        <v>0.7142857142857123</v>
      </c>
      <c r="J21" s="7">
        <f t="shared" si="2"/>
        <v>0.85219236209335247</v>
      </c>
      <c r="K21" s="3">
        <f t="shared" si="3"/>
        <v>-0.99009900990099264</v>
      </c>
      <c r="L21" s="1">
        <f t="shared" si="4"/>
        <v>-0.7142857142857123</v>
      </c>
      <c r="M21" s="9">
        <f t="shared" si="5"/>
        <v>-0.85219236209335247</v>
      </c>
    </row>
    <row r="22" spans="1:13" x14ac:dyDescent="0.3">
      <c r="A22" s="8" t="s">
        <v>15</v>
      </c>
      <c r="B22" s="7">
        <v>7</v>
      </c>
      <c r="C22" s="3">
        <v>17</v>
      </c>
      <c r="D22" s="1">
        <v>9.41E-4</v>
      </c>
      <c r="E22" s="9">
        <v>9.5E-4</v>
      </c>
      <c r="F22" s="1">
        <v>1.3100000000000001E-4</v>
      </c>
      <c r="G22" s="9">
        <v>1.35E-4</v>
      </c>
      <c r="H22" s="1">
        <f t="shared" si="0"/>
        <v>0.94736842105263175</v>
      </c>
      <c r="I22" s="9">
        <f t="shared" si="1"/>
        <v>2.9629629629629548</v>
      </c>
      <c r="J22" s="7">
        <f t="shared" si="2"/>
        <v>1.9551656920077933</v>
      </c>
      <c r="K22" s="3">
        <f t="shared" si="3"/>
        <v>-0.94736842105263175</v>
      </c>
      <c r="L22" s="1">
        <f t="shared" si="4"/>
        <v>-2.9629629629629548</v>
      </c>
      <c r="M22" s="9">
        <f t="shared" si="5"/>
        <v>-1.9551656920077933</v>
      </c>
    </row>
    <row r="23" spans="1:13" x14ac:dyDescent="0.3">
      <c r="A23" s="8" t="s">
        <v>16</v>
      </c>
      <c r="B23" s="7">
        <v>1</v>
      </c>
      <c r="C23" s="3">
        <v>9</v>
      </c>
      <c r="D23" s="1">
        <v>1.7799999999999999E-3</v>
      </c>
      <c r="E23" s="9">
        <v>1.7899999999999999E-3</v>
      </c>
      <c r="F23" s="1">
        <v>2.4699999999999999E-4</v>
      </c>
      <c r="G23" s="9">
        <v>2.5000000000000001E-4</v>
      </c>
      <c r="H23" s="1">
        <f t="shared" si="0"/>
        <v>0.55865921787709649</v>
      </c>
      <c r="I23" s="9">
        <f t="shared" si="1"/>
        <v>1.2000000000000075</v>
      </c>
      <c r="J23" s="7">
        <f t="shared" si="2"/>
        <v>0.87932960893855205</v>
      </c>
      <c r="K23" s="3">
        <f t="shared" si="3"/>
        <v>-0.55865921787709649</v>
      </c>
      <c r="L23" s="1">
        <f t="shared" si="4"/>
        <v>-1.2000000000000075</v>
      </c>
      <c r="M23" s="9">
        <f t="shared" si="5"/>
        <v>-0.87932960893855205</v>
      </c>
    </row>
    <row r="24" spans="1:13" x14ac:dyDescent="0.3">
      <c r="A24" s="8" t="s">
        <v>16</v>
      </c>
      <c r="B24" s="7">
        <v>2</v>
      </c>
      <c r="C24" s="3">
        <v>10</v>
      </c>
      <c r="D24" s="1">
        <v>1.6000000000000001E-3</v>
      </c>
      <c r="E24" s="9">
        <v>1.6100000000000001E-3</v>
      </c>
      <c r="F24" s="1">
        <v>2.22E-4</v>
      </c>
      <c r="G24" s="9">
        <v>2.2499999999999999E-4</v>
      </c>
      <c r="H24" s="1">
        <f t="shared" si="0"/>
        <v>0.62111801242236186</v>
      </c>
      <c r="I24" s="9">
        <f t="shared" si="1"/>
        <v>1.3333333333333297</v>
      </c>
      <c r="J24" s="7">
        <f t="shared" si="2"/>
        <v>0.97722567287784579</v>
      </c>
      <c r="K24" s="3">
        <f t="shared" si="3"/>
        <v>-0.62111801242236186</v>
      </c>
      <c r="L24" s="1">
        <f t="shared" si="4"/>
        <v>-1.3333333333333297</v>
      </c>
      <c r="M24" s="9">
        <f t="shared" si="5"/>
        <v>-0.97722567287784579</v>
      </c>
    </row>
    <row r="25" spans="1:13" x14ac:dyDescent="0.3">
      <c r="A25" s="8" t="s">
        <v>16</v>
      </c>
      <c r="B25" s="7">
        <v>3</v>
      </c>
      <c r="C25" s="3">
        <v>11</v>
      </c>
      <c r="D25" s="1">
        <v>1.4499999999999999E-3</v>
      </c>
      <c r="E25" s="9">
        <v>1.47E-3</v>
      </c>
      <c r="F25" s="1">
        <v>2.02E-4</v>
      </c>
      <c r="G25" s="9">
        <v>2.05E-4</v>
      </c>
      <c r="H25" s="1">
        <f t="shared" si="0"/>
        <v>1.3605442176870783</v>
      </c>
      <c r="I25" s="9">
        <f t="shared" si="1"/>
        <v>1.4634146341463374</v>
      </c>
      <c r="J25" s="7">
        <f t="shared" si="2"/>
        <v>1.4119794259167078</v>
      </c>
      <c r="K25" s="3">
        <f t="shared" si="3"/>
        <v>-1.3605442176870783</v>
      </c>
      <c r="L25" s="1">
        <f t="shared" si="4"/>
        <v>-1.4634146341463374</v>
      </c>
      <c r="M25" s="9">
        <f t="shared" si="5"/>
        <v>-1.4119794259167078</v>
      </c>
    </row>
    <row r="26" spans="1:13" x14ac:dyDescent="0.3">
      <c r="A26" s="8" t="s">
        <v>16</v>
      </c>
      <c r="B26" s="7">
        <v>4</v>
      </c>
      <c r="C26" s="3">
        <v>12</v>
      </c>
      <c r="D26" s="1">
        <v>1.33E-3</v>
      </c>
      <c r="E26" s="9">
        <v>1.34E-3</v>
      </c>
      <c r="F26" s="1">
        <v>1.85E-4</v>
      </c>
      <c r="G26" s="9">
        <v>1.9000000000000001E-4</v>
      </c>
      <c r="H26" s="1">
        <f t="shared" si="0"/>
        <v>0.74626865671641984</v>
      </c>
      <c r="I26" s="9">
        <f t="shared" si="1"/>
        <v>2.6315789473684279</v>
      </c>
      <c r="J26" s="7">
        <f t="shared" si="2"/>
        <v>1.688923802042424</v>
      </c>
      <c r="K26" s="3">
        <f t="shared" si="3"/>
        <v>-0.74626865671641984</v>
      </c>
      <c r="L26" s="1">
        <f t="shared" si="4"/>
        <v>-2.6315789473684279</v>
      </c>
      <c r="M26" s="9">
        <f t="shared" si="5"/>
        <v>-1.688923802042424</v>
      </c>
    </row>
    <row r="27" spans="1:13" x14ac:dyDescent="0.3">
      <c r="A27" s="8" t="s">
        <v>16</v>
      </c>
      <c r="B27" s="7">
        <v>5</v>
      </c>
      <c r="C27" s="3">
        <v>13</v>
      </c>
      <c r="D27" s="1">
        <v>1.23E-3</v>
      </c>
      <c r="E27" s="9">
        <v>1.24E-3</v>
      </c>
      <c r="F27" s="1">
        <v>1.7100000000000001E-4</v>
      </c>
      <c r="G27" s="9">
        <v>1.75E-4</v>
      </c>
      <c r="H27" s="1">
        <f t="shared" si="0"/>
        <v>0.80645161290322798</v>
      </c>
      <c r="I27" s="9">
        <f t="shared" si="1"/>
        <v>2.2857142857142794</v>
      </c>
      <c r="J27" s="7">
        <f t="shared" si="2"/>
        <v>1.5460829493087536</v>
      </c>
      <c r="K27" s="3">
        <f t="shared" si="3"/>
        <v>-0.80645161290322798</v>
      </c>
      <c r="L27" s="1">
        <f t="shared" si="4"/>
        <v>-2.2857142857142794</v>
      </c>
      <c r="M27" s="9">
        <f t="shared" si="5"/>
        <v>-1.5460829493087536</v>
      </c>
    </row>
    <row r="28" spans="1:13" x14ac:dyDescent="0.3">
      <c r="A28" s="8" t="s">
        <v>16</v>
      </c>
      <c r="B28" s="7">
        <v>6</v>
      </c>
      <c r="C28" s="3">
        <v>14</v>
      </c>
      <c r="D28" s="1">
        <v>1.14E-3</v>
      </c>
      <c r="E28" s="9">
        <v>1.15E-3</v>
      </c>
      <c r="F28" s="1">
        <v>1.5899999999999999E-4</v>
      </c>
      <c r="G28" s="9">
        <v>1.65E-4</v>
      </c>
      <c r="H28" s="1">
        <f t="shared" si="0"/>
        <v>0.86956521739130666</v>
      </c>
      <c r="I28" s="9">
        <f t="shared" si="1"/>
        <v>3.6363636363636425</v>
      </c>
      <c r="J28" s="7">
        <f t="shared" si="2"/>
        <v>2.2529644268774747</v>
      </c>
      <c r="K28" s="3">
        <f t="shared" si="3"/>
        <v>-0.86956521739130666</v>
      </c>
      <c r="L28" s="1">
        <f t="shared" si="4"/>
        <v>-3.6363636363636425</v>
      </c>
      <c r="M28" s="9">
        <f t="shared" si="5"/>
        <v>-2.2529644268774747</v>
      </c>
    </row>
    <row r="29" spans="1:13" x14ac:dyDescent="0.3">
      <c r="A29" s="8" t="s">
        <v>16</v>
      </c>
      <c r="B29" s="7">
        <v>7</v>
      </c>
      <c r="C29" s="3">
        <v>15</v>
      </c>
      <c r="D29" s="1">
        <v>1.07E-3</v>
      </c>
      <c r="E29" s="9">
        <v>1.08E-3</v>
      </c>
      <c r="F29" s="1">
        <v>1.4799999999999999E-4</v>
      </c>
      <c r="G29" s="9">
        <v>1.55E-4</v>
      </c>
      <c r="H29" s="1">
        <f t="shared" si="0"/>
        <v>0.92592592592592837</v>
      </c>
      <c r="I29" s="9">
        <f t="shared" si="1"/>
        <v>4.5161290322580694</v>
      </c>
      <c r="J29" s="7">
        <f t="shared" si="2"/>
        <v>2.7210274790919988</v>
      </c>
      <c r="K29" s="3">
        <f t="shared" si="3"/>
        <v>-0.92592592592592837</v>
      </c>
      <c r="L29" s="1">
        <f t="shared" si="4"/>
        <v>-4.5161290322580694</v>
      </c>
      <c r="M29" s="9">
        <f t="shared" si="5"/>
        <v>-2.7210274790919988</v>
      </c>
    </row>
    <row r="30" spans="1:13" x14ac:dyDescent="0.3">
      <c r="A30" s="8" t="s">
        <v>17</v>
      </c>
      <c r="B30" s="7">
        <v>1</v>
      </c>
      <c r="C30" s="3">
        <v>8</v>
      </c>
      <c r="D30" s="1">
        <v>2E-3</v>
      </c>
      <c r="E30" s="9">
        <v>2.0200000000000001E-3</v>
      </c>
      <c r="F30" s="1">
        <v>2.7799999999999998E-4</v>
      </c>
      <c r="G30" s="9">
        <v>2.9E-4</v>
      </c>
      <c r="H30" s="1">
        <f t="shared" si="0"/>
        <v>0.99009900990099264</v>
      </c>
      <c r="I30" s="9">
        <f t="shared" si="1"/>
        <v>4.137931034482766</v>
      </c>
      <c r="J30" s="7">
        <f t="shared" si="2"/>
        <v>2.5640150221918794</v>
      </c>
      <c r="K30" s="3">
        <f t="shared" si="3"/>
        <v>-0.99009900990099264</v>
      </c>
      <c r="L30" s="1">
        <f t="shared" si="4"/>
        <v>-4.137931034482766</v>
      </c>
      <c r="M30" s="9">
        <f t="shared" si="5"/>
        <v>-2.5640150221918794</v>
      </c>
    </row>
    <row r="31" spans="1:13" x14ac:dyDescent="0.3">
      <c r="A31" s="8" t="s">
        <v>17</v>
      </c>
      <c r="B31" s="7">
        <v>2</v>
      </c>
      <c r="C31" s="3">
        <v>9</v>
      </c>
      <c r="D31" s="1">
        <v>1.7799999999999999E-3</v>
      </c>
      <c r="E31" s="9">
        <v>1.7899999999999999E-3</v>
      </c>
      <c r="F31" s="1">
        <v>2.4699999999999999E-4</v>
      </c>
      <c r="G31" s="9">
        <v>2.5500000000000002E-4</v>
      </c>
      <c r="H31" s="1">
        <f t="shared" si="0"/>
        <v>0.55865921787709649</v>
      </c>
      <c r="I31" s="9">
        <f t="shared" si="1"/>
        <v>3.1372549019607967</v>
      </c>
      <c r="J31" s="7">
        <f t="shared" si="2"/>
        <v>1.8479570599189465</v>
      </c>
      <c r="K31" s="3">
        <f t="shared" si="3"/>
        <v>-0.55865921787709649</v>
      </c>
      <c r="L31" s="1">
        <f t="shared" si="4"/>
        <v>-3.1372549019607967</v>
      </c>
      <c r="M31" s="9">
        <f t="shared" si="5"/>
        <v>-1.8479570599189465</v>
      </c>
    </row>
    <row r="32" spans="1:13" x14ac:dyDescent="0.3">
      <c r="A32" s="8" t="s">
        <v>17</v>
      </c>
      <c r="B32" s="7">
        <v>3</v>
      </c>
      <c r="C32" s="3">
        <v>10</v>
      </c>
      <c r="D32" s="1">
        <v>1.6000000000000001E-3</v>
      </c>
      <c r="E32" s="9">
        <v>1.6100000000000001E-3</v>
      </c>
      <c r="F32" s="1">
        <v>2.22E-4</v>
      </c>
      <c r="G32" s="9">
        <v>2.3499999999999999E-4</v>
      </c>
      <c r="H32" s="1">
        <f t="shared" si="0"/>
        <v>0.62111801242236186</v>
      </c>
      <c r="I32" s="9">
        <f t="shared" si="1"/>
        <v>5.5319148936170173</v>
      </c>
      <c r="J32" s="7">
        <f t="shared" si="2"/>
        <v>3.0765164530196896</v>
      </c>
      <c r="K32" s="3">
        <f t="shared" si="3"/>
        <v>-0.62111801242236186</v>
      </c>
      <c r="L32" s="1">
        <f t="shared" si="4"/>
        <v>-5.5319148936170173</v>
      </c>
      <c r="M32" s="9">
        <f t="shared" si="5"/>
        <v>-3.0765164530196896</v>
      </c>
    </row>
    <row r="33" spans="1:13" x14ac:dyDescent="0.3">
      <c r="A33" s="8" t="s">
        <v>17</v>
      </c>
      <c r="B33" s="7">
        <v>4</v>
      </c>
      <c r="C33" s="3">
        <v>11</v>
      </c>
      <c r="D33" s="1">
        <v>1.4499999999999999E-3</v>
      </c>
      <c r="E33" s="9">
        <v>1.47E-3</v>
      </c>
      <c r="F33" s="1">
        <v>2.02E-4</v>
      </c>
      <c r="G33" s="9">
        <v>2.1000000000000001E-4</v>
      </c>
      <c r="H33" s="1">
        <f t="shared" si="0"/>
        <v>1.3605442176870783</v>
      </c>
      <c r="I33" s="9">
        <f t="shared" si="1"/>
        <v>3.8095238095238115</v>
      </c>
      <c r="J33" s="7">
        <f t="shared" si="2"/>
        <v>2.585034013605445</v>
      </c>
      <c r="K33" s="3">
        <f t="shared" si="3"/>
        <v>-1.3605442176870783</v>
      </c>
      <c r="L33" s="1">
        <f t="shared" si="4"/>
        <v>-3.8095238095238115</v>
      </c>
      <c r="M33" s="9">
        <f t="shared" si="5"/>
        <v>-2.585034013605445</v>
      </c>
    </row>
    <row r="34" spans="1:13" x14ac:dyDescent="0.3">
      <c r="A34" s="8" t="s">
        <v>17</v>
      </c>
      <c r="B34" s="7">
        <v>5</v>
      </c>
      <c r="C34" s="3">
        <v>12</v>
      </c>
      <c r="D34" s="1">
        <v>1.33E-3</v>
      </c>
      <c r="E34" s="9">
        <v>1.34E-3</v>
      </c>
      <c r="F34" s="1">
        <v>1.85E-4</v>
      </c>
      <c r="G34" s="9">
        <v>1.95E-4</v>
      </c>
      <c r="H34" s="1">
        <f t="shared" si="0"/>
        <v>0.74626865671641984</v>
      </c>
      <c r="I34" s="9">
        <f t="shared" si="1"/>
        <v>5.1282051282051286</v>
      </c>
      <c r="J34" s="7">
        <f t="shared" si="2"/>
        <v>2.9372368924607741</v>
      </c>
      <c r="K34" s="3">
        <f t="shared" si="3"/>
        <v>-0.74626865671641984</v>
      </c>
      <c r="L34" s="1">
        <f t="shared" si="4"/>
        <v>-5.1282051282051286</v>
      </c>
      <c r="M34" s="9">
        <f t="shared" si="5"/>
        <v>-2.9372368924607741</v>
      </c>
    </row>
    <row r="35" spans="1:13" x14ac:dyDescent="0.3">
      <c r="A35" s="8" t="s">
        <v>18</v>
      </c>
      <c r="B35" s="7">
        <v>1</v>
      </c>
      <c r="C35" s="3">
        <v>5</v>
      </c>
      <c r="D35" s="1">
        <v>3.2000000000000002E-3</v>
      </c>
      <c r="E35" s="9">
        <v>3.2200000000000002E-3</v>
      </c>
      <c r="F35" s="1">
        <v>4.44E-4</v>
      </c>
      <c r="G35" s="9">
        <v>4.6000000000000001E-4</v>
      </c>
      <c r="H35" s="1">
        <f t="shared" si="0"/>
        <v>0.62111801242236186</v>
      </c>
      <c r="I35" s="9">
        <f t="shared" si="1"/>
        <v>3.4782608695652195</v>
      </c>
      <c r="J35" s="7">
        <f t="shared" si="2"/>
        <v>2.0496894409937907</v>
      </c>
      <c r="K35" s="3">
        <f t="shared" si="3"/>
        <v>-0.62111801242236186</v>
      </c>
      <c r="L35" s="1">
        <f t="shared" si="4"/>
        <v>-3.4782608695652195</v>
      </c>
      <c r="M35" s="9">
        <f t="shared" si="5"/>
        <v>-2.0496894409937907</v>
      </c>
    </row>
    <row r="36" spans="1:13" x14ac:dyDescent="0.3">
      <c r="A36" s="8" t="s">
        <v>18</v>
      </c>
      <c r="B36" s="7">
        <v>2</v>
      </c>
      <c r="C36" s="3">
        <v>6</v>
      </c>
      <c r="D36" s="1">
        <v>2.6700000000000001E-3</v>
      </c>
      <c r="E36" s="9">
        <v>2.6900000000000001E-3</v>
      </c>
      <c r="F36" s="1">
        <v>3.6999999999999999E-4</v>
      </c>
      <c r="G36" s="9">
        <v>3.8499999999999998E-4</v>
      </c>
      <c r="H36" s="1">
        <f t="shared" si="0"/>
        <v>0.74349442379182351</v>
      </c>
      <c r="I36" s="9">
        <f t="shared" si="1"/>
        <v>3.8961038961038925</v>
      </c>
      <c r="J36" s="7">
        <f t="shared" si="2"/>
        <v>2.3197991599478582</v>
      </c>
      <c r="K36" s="3">
        <f t="shared" si="3"/>
        <v>-0.74349442379182351</v>
      </c>
      <c r="L36" s="1">
        <f t="shared" si="4"/>
        <v>-3.8961038961038925</v>
      </c>
      <c r="M36" s="9">
        <f t="shared" si="5"/>
        <v>-2.3197991599478582</v>
      </c>
    </row>
    <row r="37" spans="1:13" x14ac:dyDescent="0.3">
      <c r="A37" s="8" t="s">
        <v>18</v>
      </c>
      <c r="B37" s="7">
        <v>3</v>
      </c>
      <c r="C37" s="3">
        <v>7</v>
      </c>
      <c r="D37" s="1">
        <v>2.2899999999999999E-3</v>
      </c>
      <c r="E37" s="9">
        <v>2.31E-3</v>
      </c>
      <c r="F37" s="1">
        <v>3.1700000000000001E-4</v>
      </c>
      <c r="G37" s="9">
        <v>3.3E-4</v>
      </c>
      <c r="H37" s="1">
        <f t="shared" si="0"/>
        <v>0.86580086580086812</v>
      </c>
      <c r="I37" s="9">
        <f t="shared" si="1"/>
        <v>3.9393939393939368</v>
      </c>
      <c r="J37" s="7">
        <f t="shared" si="2"/>
        <v>2.4025974025974026</v>
      </c>
      <c r="K37" s="3">
        <f t="shared" si="3"/>
        <v>-0.86580086580086812</v>
      </c>
      <c r="L37" s="1">
        <f t="shared" si="4"/>
        <v>-3.9393939393939368</v>
      </c>
      <c r="M37" s="9">
        <f t="shared" si="5"/>
        <v>-2.4025974025974026</v>
      </c>
    </row>
    <row r="38" spans="1:13" x14ac:dyDescent="0.3">
      <c r="A38" s="8" t="s">
        <v>18</v>
      </c>
      <c r="B38" s="7">
        <v>4</v>
      </c>
      <c r="C38" s="3">
        <v>8</v>
      </c>
      <c r="D38" s="1">
        <v>2E-3</v>
      </c>
      <c r="E38" s="9">
        <v>2.0200000000000001E-3</v>
      </c>
      <c r="F38" s="1">
        <v>2.7799999999999998E-4</v>
      </c>
      <c r="G38" s="9">
        <v>2.9E-4</v>
      </c>
      <c r="H38" s="1">
        <f t="shared" si="0"/>
        <v>0.99009900990099264</v>
      </c>
      <c r="I38" s="9">
        <f t="shared" si="1"/>
        <v>4.137931034482766</v>
      </c>
      <c r="J38" s="7">
        <f t="shared" si="2"/>
        <v>2.5640150221918794</v>
      </c>
      <c r="K38" s="3">
        <f t="shared" si="3"/>
        <v>-0.99009900990099264</v>
      </c>
      <c r="L38" s="1">
        <f t="shared" si="4"/>
        <v>-4.137931034482766</v>
      </c>
      <c r="M38" s="9">
        <f t="shared" si="5"/>
        <v>-2.5640150221918794</v>
      </c>
    </row>
    <row r="39" spans="1:13" x14ac:dyDescent="0.3">
      <c r="A39" s="8" t="s">
        <v>18</v>
      </c>
      <c r="B39" s="7">
        <v>5</v>
      </c>
      <c r="C39" s="3">
        <v>9</v>
      </c>
      <c r="D39" s="1">
        <v>1.7799999999999999E-3</v>
      </c>
      <c r="E39" s="9">
        <v>1.8E-3</v>
      </c>
      <c r="F39" s="1">
        <v>2.4699999999999999E-4</v>
      </c>
      <c r="G39" s="9">
        <v>2.5999999999999998E-4</v>
      </c>
      <c r="H39" s="1">
        <f t="shared" si="0"/>
        <v>1.111111111111114</v>
      </c>
      <c r="I39" s="9">
        <f t="shared" si="1"/>
        <v>4.9999999999999964</v>
      </c>
      <c r="J39" s="7">
        <f t="shared" si="2"/>
        <v>3.0555555555555554</v>
      </c>
      <c r="K39" s="3">
        <f t="shared" si="3"/>
        <v>-1.111111111111114</v>
      </c>
      <c r="L39" s="1">
        <f t="shared" si="4"/>
        <v>-4.9999999999999964</v>
      </c>
      <c r="M39" s="9">
        <f t="shared" si="5"/>
        <v>-3.0555555555555554</v>
      </c>
    </row>
    <row r="40" spans="1:13" x14ac:dyDescent="0.3">
      <c r="A40" s="8" t="s">
        <v>18</v>
      </c>
      <c r="B40" s="7">
        <v>6</v>
      </c>
      <c r="C40" s="3">
        <v>10</v>
      </c>
      <c r="D40" s="1">
        <v>1.6000000000000001E-3</v>
      </c>
      <c r="E40" s="9">
        <v>1.6199999999999999E-3</v>
      </c>
      <c r="F40" s="1">
        <v>2.22E-4</v>
      </c>
      <c r="G40" s="9">
        <v>2.3499999999999999E-4</v>
      </c>
      <c r="H40" s="1">
        <f t="shared" si="0"/>
        <v>1.2345679012345578</v>
      </c>
      <c r="I40" s="9">
        <f t="shared" si="1"/>
        <v>5.5319148936170173</v>
      </c>
      <c r="J40" s="7">
        <f t="shared" si="2"/>
        <v>3.3832413974257873</v>
      </c>
      <c r="K40" s="3">
        <f t="shared" si="3"/>
        <v>-1.2345679012345578</v>
      </c>
      <c r="L40" s="1">
        <f t="shared" si="4"/>
        <v>-5.5319148936170173</v>
      </c>
      <c r="M40" s="9">
        <f t="shared" si="5"/>
        <v>-3.3832413974257873</v>
      </c>
    </row>
    <row r="41" spans="1:13" x14ac:dyDescent="0.3">
      <c r="A41" s="8" t="s">
        <v>19</v>
      </c>
      <c r="B41" s="7">
        <v>1</v>
      </c>
      <c r="C41" s="3">
        <v>4</v>
      </c>
      <c r="D41" s="1">
        <v>4.0000000000000001E-3</v>
      </c>
      <c r="E41" s="9">
        <v>4.0499999999999998E-3</v>
      </c>
      <c r="F41" s="1">
        <v>5.5500000000000005E-4</v>
      </c>
      <c r="G41" s="9">
        <v>5.7499999999999999E-4</v>
      </c>
      <c r="H41" s="1">
        <f t="shared" si="0"/>
        <v>1.2345679012345605</v>
      </c>
      <c r="I41" s="9">
        <f t="shared" si="1"/>
        <v>3.4782608695652075</v>
      </c>
      <c r="J41" s="7">
        <f t="shared" si="2"/>
        <v>2.356414385399884</v>
      </c>
      <c r="K41" s="3">
        <f t="shared" si="3"/>
        <v>-1.2345679012345605</v>
      </c>
      <c r="L41" s="1">
        <f t="shared" si="4"/>
        <v>-3.4782608695652075</v>
      </c>
      <c r="M41" s="9">
        <f t="shared" si="5"/>
        <v>-2.356414385399884</v>
      </c>
    </row>
    <row r="42" spans="1:13" x14ac:dyDescent="0.3">
      <c r="A42" s="8" t="s">
        <v>19</v>
      </c>
      <c r="B42" s="7">
        <v>2</v>
      </c>
      <c r="C42" s="3">
        <v>5</v>
      </c>
      <c r="D42" s="1">
        <v>3.2000000000000002E-3</v>
      </c>
      <c r="E42" s="9">
        <v>3.2299999999999998E-3</v>
      </c>
      <c r="F42" s="1">
        <v>4.44E-4</v>
      </c>
      <c r="G42" s="9">
        <v>4.6500000000000003E-4</v>
      </c>
      <c r="H42" s="1">
        <f t="shared" si="0"/>
        <v>0.9287925696594318</v>
      </c>
      <c r="I42" s="9">
        <f t="shared" si="1"/>
        <v>4.5161290322580685</v>
      </c>
      <c r="J42" s="7">
        <f t="shared" si="2"/>
        <v>2.7224608009587503</v>
      </c>
      <c r="K42" s="3">
        <f t="shared" si="3"/>
        <v>-0.9287925696594318</v>
      </c>
      <c r="L42" s="1">
        <f t="shared" si="4"/>
        <v>-4.5161290322580685</v>
      </c>
      <c r="M42" s="9">
        <f t="shared" si="5"/>
        <v>-2.7224608009587503</v>
      </c>
    </row>
    <row r="43" spans="1:13" x14ac:dyDescent="0.3">
      <c r="A43" s="8" t="s">
        <v>19</v>
      </c>
      <c r="B43" s="7">
        <v>3</v>
      </c>
      <c r="C43" s="3">
        <v>6</v>
      </c>
      <c r="D43" s="1">
        <v>2.6700000000000001E-3</v>
      </c>
      <c r="E43" s="9">
        <v>2.6900000000000001E-3</v>
      </c>
      <c r="F43" s="1">
        <v>3.6999999999999999E-4</v>
      </c>
      <c r="G43" s="9">
        <v>3.8499999999999998E-4</v>
      </c>
      <c r="H43" s="1">
        <f t="shared" si="0"/>
        <v>0.74349442379182351</v>
      </c>
      <c r="I43" s="9">
        <f t="shared" si="1"/>
        <v>3.8961038961038925</v>
      </c>
      <c r="J43" s="7">
        <f t="shared" si="2"/>
        <v>2.3197991599478582</v>
      </c>
      <c r="K43" s="3">
        <f t="shared" si="3"/>
        <v>-0.74349442379182351</v>
      </c>
      <c r="L43" s="1">
        <f t="shared" si="4"/>
        <v>-3.8961038961038925</v>
      </c>
      <c r="M43" s="9">
        <f t="shared" si="5"/>
        <v>-2.3197991599478582</v>
      </c>
    </row>
    <row r="44" spans="1:13" x14ac:dyDescent="0.3">
      <c r="A44" s="8" t="s">
        <v>20</v>
      </c>
      <c r="B44" s="7">
        <v>1</v>
      </c>
      <c r="C44" s="3">
        <v>6</v>
      </c>
      <c r="D44" s="1">
        <v>2.6700000000000001E-3</v>
      </c>
      <c r="E44" s="9">
        <v>2.6900000000000001E-3</v>
      </c>
      <c r="F44" s="1">
        <v>3.6999999999999999E-4</v>
      </c>
      <c r="G44" s="9">
        <v>3.8000000000000002E-4</v>
      </c>
      <c r="H44" s="1">
        <f t="shared" si="0"/>
        <v>0.74349442379182351</v>
      </c>
      <c r="I44" s="9">
        <f t="shared" si="1"/>
        <v>2.6315789473684279</v>
      </c>
      <c r="J44" s="7">
        <f t="shared" si="2"/>
        <v>1.6875366855801257</v>
      </c>
      <c r="K44" s="3">
        <f t="shared" si="3"/>
        <v>-0.74349442379182351</v>
      </c>
      <c r="L44" s="1">
        <f t="shared" si="4"/>
        <v>-2.6315789473684279</v>
      </c>
      <c r="M44" s="9">
        <f t="shared" si="5"/>
        <v>-1.6875366855801257</v>
      </c>
    </row>
    <row r="45" spans="1:13" x14ac:dyDescent="0.3">
      <c r="A45" s="8" t="s">
        <v>20</v>
      </c>
      <c r="B45" s="7">
        <v>2</v>
      </c>
      <c r="C45" s="3">
        <v>7</v>
      </c>
      <c r="D45" s="1">
        <v>2.2899999999999999E-3</v>
      </c>
      <c r="E45" s="9">
        <v>2.31E-3</v>
      </c>
      <c r="F45" s="1">
        <v>3.1700000000000001E-4</v>
      </c>
      <c r="G45" s="9">
        <v>3.3E-4</v>
      </c>
      <c r="H45" s="1">
        <f t="shared" si="0"/>
        <v>0.86580086580086812</v>
      </c>
      <c r="I45" s="9">
        <f t="shared" si="1"/>
        <v>3.9393939393939368</v>
      </c>
      <c r="J45" s="7">
        <f t="shared" si="2"/>
        <v>2.4025974025974026</v>
      </c>
      <c r="K45" s="3">
        <f t="shared" si="3"/>
        <v>-0.86580086580086812</v>
      </c>
      <c r="L45" s="1">
        <f t="shared" si="4"/>
        <v>-3.9393939393939368</v>
      </c>
      <c r="M45" s="9">
        <f t="shared" si="5"/>
        <v>-2.4025974025974026</v>
      </c>
    </row>
    <row r="46" spans="1:13" x14ac:dyDescent="0.3">
      <c r="A46" s="8" t="s">
        <v>20</v>
      </c>
      <c r="B46" s="7">
        <v>3</v>
      </c>
      <c r="C46" s="3">
        <v>8</v>
      </c>
      <c r="D46" s="1">
        <v>2E-3</v>
      </c>
      <c r="E46" s="9">
        <v>2.0200000000000001E-3</v>
      </c>
      <c r="F46" s="1">
        <v>2.7799999999999998E-4</v>
      </c>
      <c r="G46" s="9">
        <v>2.9E-4</v>
      </c>
      <c r="H46" s="1">
        <f t="shared" si="0"/>
        <v>0.99009900990099264</v>
      </c>
      <c r="I46" s="9">
        <f t="shared" si="1"/>
        <v>4.137931034482766</v>
      </c>
      <c r="J46" s="7">
        <f t="shared" si="2"/>
        <v>2.5640150221918794</v>
      </c>
      <c r="K46" s="3">
        <f t="shared" si="3"/>
        <v>-0.99009900990099264</v>
      </c>
      <c r="L46" s="1">
        <f t="shared" si="4"/>
        <v>-4.137931034482766</v>
      </c>
      <c r="M46" s="9">
        <f t="shared" si="5"/>
        <v>-2.5640150221918794</v>
      </c>
    </row>
    <row r="47" spans="1:13" x14ac:dyDescent="0.3">
      <c r="A47" s="8" t="s">
        <v>20</v>
      </c>
      <c r="B47" s="7">
        <v>4</v>
      </c>
      <c r="C47" s="3">
        <v>9</v>
      </c>
      <c r="D47" s="1">
        <v>1.7799999999999999E-3</v>
      </c>
      <c r="E47" s="9">
        <v>1.8E-3</v>
      </c>
      <c r="F47" s="1">
        <v>2.4699999999999999E-4</v>
      </c>
      <c r="G47" s="9">
        <v>2.5999999999999998E-4</v>
      </c>
      <c r="H47" s="1">
        <f t="shared" si="0"/>
        <v>1.111111111111114</v>
      </c>
      <c r="I47" s="9">
        <f t="shared" si="1"/>
        <v>4.9999999999999964</v>
      </c>
      <c r="J47" s="7">
        <f t="shared" si="2"/>
        <v>3.0555555555555554</v>
      </c>
      <c r="K47" s="3">
        <f t="shared" si="3"/>
        <v>-1.111111111111114</v>
      </c>
      <c r="L47" s="1">
        <f t="shared" si="4"/>
        <v>-4.9999999999999964</v>
      </c>
      <c r="M47" s="9">
        <f t="shared" si="5"/>
        <v>-3.0555555555555554</v>
      </c>
    </row>
    <row r="48" spans="1:13" x14ac:dyDescent="0.3">
      <c r="A48" s="8" t="s">
        <v>20</v>
      </c>
      <c r="B48" s="7">
        <v>5</v>
      </c>
      <c r="C48" s="3">
        <v>10</v>
      </c>
      <c r="D48" s="1">
        <v>1.6000000000000001E-3</v>
      </c>
      <c r="E48" s="9">
        <v>1.6199999999999999E-3</v>
      </c>
      <c r="F48" s="1">
        <v>2.22E-4</v>
      </c>
      <c r="G48" s="9">
        <v>2.3000000000000001E-4</v>
      </c>
      <c r="H48" s="1">
        <f t="shared" si="0"/>
        <v>1.2345679012345578</v>
      </c>
      <c r="I48" s="9">
        <f t="shared" si="1"/>
        <v>3.4782608695652195</v>
      </c>
      <c r="J48" s="7">
        <f t="shared" si="2"/>
        <v>2.3564143853998889</v>
      </c>
      <c r="K48" s="3">
        <f t="shared" si="3"/>
        <v>-1.2345679012345578</v>
      </c>
      <c r="L48" s="1">
        <f t="shared" si="4"/>
        <v>-3.4782608695652195</v>
      </c>
      <c r="M48" s="9">
        <f t="shared" si="5"/>
        <v>-2.3564143853998889</v>
      </c>
    </row>
    <row r="49" spans="1:13" x14ac:dyDescent="0.3">
      <c r="A49" s="8" t="s">
        <v>21</v>
      </c>
      <c r="B49" s="7">
        <v>1</v>
      </c>
      <c r="C49" s="3">
        <v>8</v>
      </c>
      <c r="D49" s="1">
        <v>2E-3</v>
      </c>
      <c r="E49" s="9">
        <v>2.0200000000000001E-3</v>
      </c>
      <c r="F49" s="1">
        <v>2.7799999999999998E-4</v>
      </c>
      <c r="G49" s="9">
        <v>2.8499999999999999E-4</v>
      </c>
      <c r="H49" s="1">
        <f t="shared" si="0"/>
        <v>0.99009900990099264</v>
      </c>
      <c r="I49" s="9">
        <f t="shared" si="1"/>
        <v>2.4561403508771957</v>
      </c>
      <c r="J49" s="7">
        <f t="shared" si="2"/>
        <v>1.7231196803890942</v>
      </c>
      <c r="K49" s="3">
        <f t="shared" si="3"/>
        <v>-0.99009900990099264</v>
      </c>
      <c r="L49" s="1">
        <f t="shared" si="4"/>
        <v>-2.4561403508771957</v>
      </c>
      <c r="M49" s="9">
        <f t="shared" si="5"/>
        <v>-1.7231196803890942</v>
      </c>
    </row>
    <row r="50" spans="1:13" x14ac:dyDescent="0.3">
      <c r="A50" s="8" t="s">
        <v>21</v>
      </c>
      <c r="B50" s="7">
        <v>2</v>
      </c>
      <c r="C50" s="3">
        <v>9</v>
      </c>
      <c r="D50" s="1">
        <v>1.7799999999999999E-3</v>
      </c>
      <c r="E50" s="9">
        <v>1.7899999999999999E-3</v>
      </c>
      <c r="F50" s="1">
        <v>2.4699999999999999E-4</v>
      </c>
      <c r="G50" s="9">
        <v>2.5500000000000002E-4</v>
      </c>
      <c r="H50" s="1">
        <f t="shared" si="0"/>
        <v>0.55865921787709649</v>
      </c>
      <c r="I50" s="9">
        <f t="shared" si="1"/>
        <v>3.1372549019607967</v>
      </c>
      <c r="J50" s="7">
        <f t="shared" si="2"/>
        <v>1.8479570599189465</v>
      </c>
      <c r="K50" s="3">
        <f t="shared" si="3"/>
        <v>-0.55865921787709649</v>
      </c>
      <c r="L50" s="1">
        <f t="shared" si="4"/>
        <v>-3.1372549019607967</v>
      </c>
      <c r="M50" s="9">
        <f t="shared" si="5"/>
        <v>-1.8479570599189465</v>
      </c>
    </row>
    <row r="51" spans="1:13" x14ac:dyDescent="0.3">
      <c r="A51" s="8" t="s">
        <v>21</v>
      </c>
      <c r="B51" s="7">
        <v>3</v>
      </c>
      <c r="C51" s="3">
        <v>10</v>
      </c>
      <c r="D51" s="1">
        <v>1.6000000000000001E-3</v>
      </c>
      <c r="E51" s="9">
        <v>1.6100000000000001E-3</v>
      </c>
      <c r="F51" s="1">
        <v>2.22E-4</v>
      </c>
      <c r="G51" s="9">
        <v>2.3000000000000001E-4</v>
      </c>
      <c r="H51" s="1">
        <f t="shared" si="0"/>
        <v>0.62111801242236186</v>
      </c>
      <c r="I51" s="9">
        <f t="shared" si="1"/>
        <v>3.4782608695652195</v>
      </c>
      <c r="J51" s="7">
        <f t="shared" si="2"/>
        <v>2.0496894409937907</v>
      </c>
      <c r="K51" s="3">
        <f t="shared" si="3"/>
        <v>-0.62111801242236186</v>
      </c>
      <c r="L51" s="1">
        <f t="shared" si="4"/>
        <v>-3.4782608695652195</v>
      </c>
      <c r="M51" s="9">
        <f t="shared" si="5"/>
        <v>-2.0496894409937907</v>
      </c>
    </row>
    <row r="52" spans="1:13" x14ac:dyDescent="0.3">
      <c r="A52" s="8" t="s">
        <v>21</v>
      </c>
      <c r="B52" s="7">
        <v>4</v>
      </c>
      <c r="C52" s="3">
        <v>11</v>
      </c>
      <c r="D52" s="1">
        <v>1.4499999999999999E-3</v>
      </c>
      <c r="E52" s="9">
        <v>1.47E-3</v>
      </c>
      <c r="F52" s="1">
        <v>2.02E-4</v>
      </c>
      <c r="G52" s="9">
        <v>2.1000000000000001E-4</v>
      </c>
      <c r="H52" s="1">
        <f t="shared" si="0"/>
        <v>1.3605442176870783</v>
      </c>
      <c r="I52" s="9">
        <f t="shared" si="1"/>
        <v>3.8095238095238115</v>
      </c>
      <c r="J52" s="7">
        <f t="shared" si="2"/>
        <v>2.585034013605445</v>
      </c>
      <c r="K52" s="3">
        <f t="shared" si="3"/>
        <v>-1.3605442176870783</v>
      </c>
      <c r="L52" s="1">
        <f t="shared" si="4"/>
        <v>-3.8095238095238115</v>
      </c>
      <c r="M52" s="9">
        <f t="shared" si="5"/>
        <v>-2.585034013605445</v>
      </c>
    </row>
    <row r="53" spans="1:13" x14ac:dyDescent="0.3">
      <c r="A53" s="8" t="s">
        <v>22</v>
      </c>
      <c r="B53" s="7">
        <v>1</v>
      </c>
      <c r="C53" s="3">
        <v>10</v>
      </c>
      <c r="D53" s="1">
        <v>1.6000000000000001E-3</v>
      </c>
      <c r="E53" s="9">
        <v>1.6199999999999999E-3</v>
      </c>
      <c r="F53" s="1">
        <v>2.22E-4</v>
      </c>
      <c r="G53" s="9">
        <v>2.3000000000000001E-4</v>
      </c>
      <c r="H53" s="1">
        <f t="shared" si="0"/>
        <v>1.2345679012345578</v>
      </c>
      <c r="I53" s="9">
        <f t="shared" si="1"/>
        <v>3.4782608695652195</v>
      </c>
      <c r="J53" s="7">
        <f t="shared" si="2"/>
        <v>2.3564143853998889</v>
      </c>
      <c r="K53" s="3">
        <f t="shared" si="3"/>
        <v>-1.2345679012345578</v>
      </c>
      <c r="L53" s="1">
        <f t="shared" si="4"/>
        <v>-3.4782608695652195</v>
      </c>
      <c r="M53" s="9">
        <f t="shared" si="5"/>
        <v>-2.3564143853998889</v>
      </c>
    </row>
    <row r="54" spans="1:13" x14ac:dyDescent="0.3">
      <c r="A54" s="8" t="s">
        <v>22</v>
      </c>
      <c r="B54" s="7">
        <v>2</v>
      </c>
      <c r="C54" s="3">
        <v>11</v>
      </c>
      <c r="D54" s="1">
        <v>1.4499999999999999E-3</v>
      </c>
      <c r="E54" s="9">
        <v>1.47E-3</v>
      </c>
      <c r="F54" s="1">
        <v>2.02E-4</v>
      </c>
      <c r="G54" s="9">
        <v>2.1000000000000001E-4</v>
      </c>
      <c r="H54" s="1">
        <f t="shared" si="0"/>
        <v>1.3605442176870783</v>
      </c>
      <c r="I54" s="9">
        <f t="shared" si="1"/>
        <v>3.8095238095238115</v>
      </c>
      <c r="J54" s="7">
        <f t="shared" si="2"/>
        <v>2.585034013605445</v>
      </c>
      <c r="K54" s="3">
        <f t="shared" si="3"/>
        <v>-1.3605442176870783</v>
      </c>
      <c r="L54" s="1">
        <f t="shared" si="4"/>
        <v>-3.8095238095238115</v>
      </c>
      <c r="M54" s="9">
        <f t="shared" si="5"/>
        <v>-2.585034013605445</v>
      </c>
    </row>
    <row r="55" spans="1:13" x14ac:dyDescent="0.3">
      <c r="A55" s="8" t="s">
        <v>22</v>
      </c>
      <c r="B55" s="7">
        <v>3</v>
      </c>
      <c r="C55" s="3">
        <v>12</v>
      </c>
      <c r="D55" s="1">
        <v>1.33E-3</v>
      </c>
      <c r="E55" s="9">
        <v>1.3500000000000001E-3</v>
      </c>
      <c r="F55" s="1">
        <v>1.85E-4</v>
      </c>
      <c r="G55" s="9">
        <v>1.95E-4</v>
      </c>
      <c r="H55" s="1">
        <f t="shared" si="0"/>
        <v>1.4814814814814854</v>
      </c>
      <c r="I55" s="9">
        <f t="shared" si="1"/>
        <v>5.1282051282051286</v>
      </c>
      <c r="J55" s="7">
        <f t="shared" si="2"/>
        <v>3.304843304843307</v>
      </c>
      <c r="K55" s="3">
        <f t="shared" si="3"/>
        <v>-1.4814814814814854</v>
      </c>
      <c r="L55" s="1">
        <f t="shared" si="4"/>
        <v>-5.1282051282051286</v>
      </c>
      <c r="M55" s="9">
        <f t="shared" si="5"/>
        <v>-3.304843304843307</v>
      </c>
    </row>
    <row r="56" spans="1:13" x14ac:dyDescent="0.3">
      <c r="A56" s="8" t="s">
        <v>22</v>
      </c>
      <c r="B56" s="7">
        <v>4</v>
      </c>
      <c r="C56" s="3">
        <v>13</v>
      </c>
      <c r="D56" s="1">
        <v>1.23E-3</v>
      </c>
      <c r="E56" s="9">
        <v>1.24E-3</v>
      </c>
      <c r="F56" s="1">
        <v>1.7100000000000001E-4</v>
      </c>
      <c r="G56" s="9">
        <v>1.8000000000000001E-4</v>
      </c>
      <c r="H56" s="1">
        <f t="shared" si="0"/>
        <v>0.80645161290322798</v>
      </c>
      <c r="I56" s="9">
        <f t="shared" si="1"/>
        <v>5.0000000000000009</v>
      </c>
      <c r="J56" s="7">
        <f t="shared" si="2"/>
        <v>2.9032258064516143</v>
      </c>
      <c r="K56" s="3">
        <f t="shared" si="3"/>
        <v>-0.80645161290322798</v>
      </c>
      <c r="L56" s="1">
        <f t="shared" si="4"/>
        <v>-5.0000000000000009</v>
      </c>
      <c r="M56" s="9">
        <f t="shared" si="5"/>
        <v>-2.9032258064516143</v>
      </c>
    </row>
    <row r="57" spans="1:13" x14ac:dyDescent="0.3">
      <c r="A57" s="8" t="s">
        <v>23</v>
      </c>
      <c r="B57" s="7">
        <v>1</v>
      </c>
      <c r="C57" s="3">
        <v>12</v>
      </c>
      <c r="D57" s="1">
        <v>1.33E-3</v>
      </c>
      <c r="E57" s="9">
        <v>1.3500000000000001E-3</v>
      </c>
      <c r="F57" s="1">
        <v>1.85E-4</v>
      </c>
      <c r="G57" s="9">
        <v>1.95E-4</v>
      </c>
      <c r="H57" s="1">
        <f t="shared" si="0"/>
        <v>1.4814814814814854</v>
      </c>
      <c r="I57" s="9">
        <f t="shared" si="1"/>
        <v>5.1282051282051286</v>
      </c>
      <c r="J57" s="7">
        <f t="shared" si="2"/>
        <v>3.304843304843307</v>
      </c>
      <c r="K57" s="3">
        <f t="shared" si="3"/>
        <v>-1.4814814814814854</v>
      </c>
      <c r="L57" s="1">
        <f t="shared" si="4"/>
        <v>-5.1282051282051286</v>
      </c>
      <c r="M57" s="9">
        <f t="shared" si="5"/>
        <v>-3.304843304843307</v>
      </c>
    </row>
    <row r="58" spans="1:13" x14ac:dyDescent="0.3">
      <c r="A58" s="8" t="s">
        <v>23</v>
      </c>
      <c r="B58" s="7">
        <v>2</v>
      </c>
      <c r="C58" s="3">
        <v>13</v>
      </c>
      <c r="D58" s="1">
        <v>1.23E-3</v>
      </c>
      <c r="E58" s="9">
        <v>1.24E-3</v>
      </c>
      <c r="F58" s="1">
        <v>1.7100000000000001E-4</v>
      </c>
      <c r="G58" s="9">
        <v>1.8000000000000001E-4</v>
      </c>
      <c r="H58" s="1">
        <f t="shared" si="0"/>
        <v>0.80645161290322798</v>
      </c>
      <c r="I58" s="9">
        <f t="shared" si="1"/>
        <v>5.0000000000000009</v>
      </c>
      <c r="J58" s="7">
        <f t="shared" si="2"/>
        <v>2.9032258064516143</v>
      </c>
      <c r="K58" s="3">
        <f t="shared" si="3"/>
        <v>-0.80645161290322798</v>
      </c>
      <c r="L58" s="1">
        <f t="shared" si="4"/>
        <v>-5.0000000000000009</v>
      </c>
      <c r="M58" s="9">
        <f t="shared" si="5"/>
        <v>-2.9032258064516143</v>
      </c>
    </row>
    <row r="59" spans="1:13" x14ac:dyDescent="0.3">
      <c r="A59" s="8" t="s">
        <v>23</v>
      </c>
      <c r="B59" s="7">
        <v>3</v>
      </c>
      <c r="C59" s="3">
        <v>14</v>
      </c>
      <c r="D59" s="1">
        <v>1.14E-3</v>
      </c>
      <c r="E59" s="9">
        <v>1.15E-3</v>
      </c>
      <c r="F59" s="1">
        <v>1.5899999999999999E-4</v>
      </c>
      <c r="G59" s="9">
        <v>1.65E-4</v>
      </c>
      <c r="H59" s="1">
        <f t="shared" si="0"/>
        <v>0.86956521739130666</v>
      </c>
      <c r="I59" s="9">
        <f t="shared" si="1"/>
        <v>3.6363636363636425</v>
      </c>
      <c r="J59" s="7">
        <f t="shared" si="2"/>
        <v>2.2529644268774747</v>
      </c>
      <c r="K59" s="3">
        <f t="shared" si="3"/>
        <v>-0.86956521739130666</v>
      </c>
      <c r="L59" s="1">
        <f t="shared" si="4"/>
        <v>-3.6363636363636425</v>
      </c>
      <c r="M59" s="9">
        <f t="shared" si="5"/>
        <v>-2.2529644268774747</v>
      </c>
    </row>
    <row r="60" spans="1:13" x14ac:dyDescent="0.3">
      <c r="A60" s="8" t="s">
        <v>23</v>
      </c>
      <c r="B60" s="7">
        <v>4</v>
      </c>
      <c r="C60" s="3">
        <v>15</v>
      </c>
      <c r="D60" s="1">
        <v>1.07E-3</v>
      </c>
      <c r="E60" s="9">
        <v>1.08E-3</v>
      </c>
      <c r="F60" s="1">
        <v>1.4799999999999999E-4</v>
      </c>
      <c r="G60" s="9">
        <v>1.55E-4</v>
      </c>
      <c r="H60" s="1">
        <f t="shared" si="0"/>
        <v>0.92592592592592837</v>
      </c>
      <c r="I60" s="9">
        <f t="shared" si="1"/>
        <v>4.5161290322580694</v>
      </c>
      <c r="J60" s="7">
        <f t="shared" si="2"/>
        <v>2.7210274790919988</v>
      </c>
      <c r="K60" s="3">
        <f t="shared" si="3"/>
        <v>-0.92592592592592837</v>
      </c>
      <c r="L60" s="1">
        <f t="shared" si="4"/>
        <v>-4.5161290322580694</v>
      </c>
      <c r="M60" s="9">
        <f t="shared" si="5"/>
        <v>-2.7210274790919988</v>
      </c>
    </row>
    <row r="61" spans="1:13" x14ac:dyDescent="0.3">
      <c r="A61" s="8" t="s">
        <v>23</v>
      </c>
      <c r="B61" s="7">
        <v>5</v>
      </c>
      <c r="C61" s="3">
        <v>16</v>
      </c>
      <c r="D61" s="1">
        <v>1E-3</v>
      </c>
      <c r="E61" s="9">
        <v>1.01E-3</v>
      </c>
      <c r="F61" s="1">
        <v>1.3899999999999999E-4</v>
      </c>
      <c r="G61" s="9">
        <v>1.45E-4</v>
      </c>
      <c r="H61" s="1">
        <f t="shared" si="0"/>
        <v>0.99009900990099264</v>
      </c>
      <c r="I61" s="9">
        <f t="shared" si="1"/>
        <v>4.137931034482766</v>
      </c>
      <c r="J61" s="7">
        <f t="shared" si="2"/>
        <v>2.5640150221918794</v>
      </c>
      <c r="K61" s="3">
        <f t="shared" si="3"/>
        <v>-0.99009900990099264</v>
      </c>
      <c r="L61" s="1">
        <f t="shared" si="4"/>
        <v>-4.137931034482766</v>
      </c>
      <c r="M61" s="9">
        <f t="shared" si="5"/>
        <v>-2.5640150221918794</v>
      </c>
    </row>
    <row r="62" spans="1:13" x14ac:dyDescent="0.3">
      <c r="A62" s="8" t="s">
        <v>24</v>
      </c>
      <c r="B62" s="7">
        <v>1</v>
      </c>
      <c r="C62" s="3">
        <v>1</v>
      </c>
      <c r="D62" s="1">
        <v>1.6E-2</v>
      </c>
      <c r="E62" s="2"/>
      <c r="F62" s="1">
        <v>2.2200000000000002E-3</v>
      </c>
      <c r="G62" s="2"/>
      <c r="H62" s="1" t="str">
        <f t="shared" si="0"/>
        <v/>
      </c>
      <c r="I62" s="9" t="str">
        <f t="shared" si="1"/>
        <v/>
      </c>
      <c r="J62" s="7" t="str">
        <f t="shared" si="2"/>
        <v/>
      </c>
      <c r="K62" s="3" t="str">
        <f t="shared" si="3"/>
        <v/>
      </c>
      <c r="L62" s="1" t="str">
        <f t="shared" si="4"/>
        <v/>
      </c>
      <c r="M62" s="9" t="str">
        <f t="shared" si="5"/>
        <v/>
      </c>
    </row>
    <row r="63" spans="1:13" x14ac:dyDescent="0.3">
      <c r="A63" s="8" t="s">
        <v>24</v>
      </c>
      <c r="B63" s="7">
        <v>2</v>
      </c>
      <c r="C63" s="3">
        <v>2</v>
      </c>
      <c r="D63" s="1">
        <v>8.0000000000000002E-3</v>
      </c>
      <c r="E63" s="2"/>
      <c r="F63" s="1">
        <v>1.1100000000000001E-3</v>
      </c>
      <c r="G63" s="2"/>
      <c r="H63" s="1" t="str">
        <f t="shared" si="0"/>
        <v/>
      </c>
      <c r="I63" s="9" t="str">
        <f t="shared" si="1"/>
        <v/>
      </c>
      <c r="J63" s="7" t="str">
        <f t="shared" si="2"/>
        <v/>
      </c>
      <c r="K63" s="3" t="str">
        <f t="shared" si="3"/>
        <v/>
      </c>
      <c r="L63" s="1" t="str">
        <f t="shared" si="4"/>
        <v/>
      </c>
      <c r="M63" s="9" t="str">
        <f t="shared" si="5"/>
        <v/>
      </c>
    </row>
    <row r="64" spans="1:13" x14ac:dyDescent="0.3">
      <c r="A64" s="8" t="s">
        <v>24</v>
      </c>
      <c r="B64" s="7">
        <v>3</v>
      </c>
      <c r="C64" s="3">
        <v>3</v>
      </c>
      <c r="D64" s="1">
        <v>5.3299999999999997E-3</v>
      </c>
      <c r="E64" s="2"/>
      <c r="F64" s="1">
        <v>7.3999999999999999E-4</v>
      </c>
      <c r="G64" s="9">
        <v>7.6000000000000004E-4</v>
      </c>
      <c r="H64" s="1" t="str">
        <f t="shared" si="0"/>
        <v/>
      </c>
      <c r="I64" s="9">
        <f t="shared" si="1"/>
        <v>2.6315789473684279</v>
      </c>
      <c r="J64" s="7">
        <f t="shared" si="2"/>
        <v>2.6315789473684279</v>
      </c>
      <c r="K64" s="3" t="str">
        <f t="shared" si="3"/>
        <v/>
      </c>
      <c r="L64" s="1">
        <f t="shared" si="4"/>
        <v>-2.6315789473684279</v>
      </c>
      <c r="M64" s="9">
        <f t="shared" si="5"/>
        <v>-2.6315789473684279</v>
      </c>
    </row>
    <row r="65" spans="1:13" x14ac:dyDescent="0.3">
      <c r="A65" s="8" t="s">
        <v>24</v>
      </c>
      <c r="B65" s="7">
        <v>4</v>
      </c>
      <c r="C65" s="3">
        <v>4</v>
      </c>
      <c r="D65" s="1">
        <v>4.0000000000000001E-3</v>
      </c>
      <c r="E65" s="2"/>
      <c r="F65" s="1">
        <v>5.5500000000000005E-4</v>
      </c>
      <c r="G65" s="9">
        <v>5.6999999999999998E-4</v>
      </c>
      <c r="H65" s="1" t="str">
        <f t="shared" si="0"/>
        <v/>
      </c>
      <c r="I65" s="9">
        <f t="shared" si="1"/>
        <v>2.6315789473684092</v>
      </c>
      <c r="J65" s="7">
        <f t="shared" si="2"/>
        <v>2.6315789473684092</v>
      </c>
      <c r="K65" s="3" t="str">
        <f t="shared" si="3"/>
        <v/>
      </c>
      <c r="L65" s="1">
        <f t="shared" si="4"/>
        <v>-2.6315789473684092</v>
      </c>
      <c r="M65" s="9">
        <f t="shared" si="5"/>
        <v>-2.6315789473684092</v>
      </c>
    </row>
    <row r="66" spans="1:13" x14ac:dyDescent="0.3">
      <c r="A66" s="8" t="s">
        <v>24</v>
      </c>
      <c r="B66" s="7">
        <v>5</v>
      </c>
      <c r="C66" s="3">
        <v>5</v>
      </c>
      <c r="D66" s="1">
        <v>3.2000000000000002E-3</v>
      </c>
      <c r="E66" s="2"/>
      <c r="F66" s="1">
        <v>4.44E-4</v>
      </c>
      <c r="G66" s="9">
        <v>4.6000000000000001E-4</v>
      </c>
      <c r="H66" s="1" t="str">
        <f t="shared" si="0"/>
        <v/>
      </c>
      <c r="I66" s="9">
        <f t="shared" si="1"/>
        <v>3.4782608695652195</v>
      </c>
      <c r="J66" s="7">
        <f t="shared" si="2"/>
        <v>3.4782608695652195</v>
      </c>
      <c r="K66" s="3" t="str">
        <f t="shared" si="3"/>
        <v/>
      </c>
      <c r="L66" s="1">
        <f t="shared" si="4"/>
        <v>-3.4782608695652195</v>
      </c>
      <c r="M66" s="9">
        <f t="shared" si="5"/>
        <v>-3.4782608695652195</v>
      </c>
    </row>
    <row r="67" spans="1:13" x14ac:dyDescent="0.3">
      <c r="A67" s="8" t="s">
        <v>24</v>
      </c>
      <c r="B67" s="7">
        <v>6</v>
      </c>
      <c r="C67" s="3">
        <v>6</v>
      </c>
      <c r="D67" s="1">
        <v>2.6700000000000001E-3</v>
      </c>
      <c r="E67" s="2"/>
      <c r="F67" s="1">
        <v>3.6999999999999999E-4</v>
      </c>
      <c r="G67" s="9">
        <v>3.8999999999999999E-4</v>
      </c>
      <c r="H67" s="1" t="str">
        <f t="shared" ref="H67:H115" si="6">IF(OR(D67="",E67="",E67=0),"",100*ABS(D67-E67)/ABS(E67))</f>
        <v/>
      </c>
      <c r="I67" s="9">
        <f t="shared" ref="I67:I115" si="7">IF(OR(F67="",G67="",G67=0),"",100*ABS(F67-G67)/ABS(G67))</f>
        <v>5.1282051282051286</v>
      </c>
      <c r="J67" s="7">
        <f t="shared" ref="J67:J115" si="8">IFERROR(AVERAGE(H67:I67),"")</f>
        <v>5.1282051282051286</v>
      </c>
      <c r="K67" s="3" t="str">
        <f t="shared" ref="K67:K115" si="9">IF(OR(D67="",E67="",E67=0),"",100*(D67-E67)/E67)</f>
        <v/>
      </c>
      <c r="L67" s="1">
        <f t="shared" ref="L67:L115" si="10">IF(OR(F67="",G67="",G67=0),"",100*(F67-G67)/G67)</f>
        <v>-5.1282051282051286</v>
      </c>
      <c r="M67" s="9">
        <f t="shared" ref="M67:M115" si="11">IFERROR(AVERAGE(K67:L67),"")</f>
        <v>-5.1282051282051286</v>
      </c>
    </row>
    <row r="68" spans="1:13" x14ac:dyDescent="0.3">
      <c r="A68" s="8" t="s">
        <v>24</v>
      </c>
      <c r="B68" s="7">
        <v>7</v>
      </c>
      <c r="C68" s="3">
        <v>12</v>
      </c>
      <c r="D68" s="1">
        <v>1.33E-3</v>
      </c>
      <c r="E68" s="2"/>
      <c r="F68" s="1">
        <v>1.85E-4</v>
      </c>
      <c r="G68" s="9">
        <v>1.95E-4</v>
      </c>
      <c r="H68" s="1" t="str">
        <f t="shared" si="6"/>
        <v/>
      </c>
      <c r="I68" s="9">
        <f t="shared" si="7"/>
        <v>5.1282051282051286</v>
      </c>
      <c r="J68" s="7">
        <f t="shared" si="8"/>
        <v>5.1282051282051286</v>
      </c>
      <c r="K68" s="3" t="str">
        <f t="shared" si="9"/>
        <v/>
      </c>
      <c r="L68" s="1">
        <f t="shared" si="10"/>
        <v>-5.1282051282051286</v>
      </c>
      <c r="M68" s="9">
        <f t="shared" si="11"/>
        <v>-5.1282051282051286</v>
      </c>
    </row>
    <row r="69" spans="1:13" x14ac:dyDescent="0.3">
      <c r="A69" s="8" t="s">
        <v>24</v>
      </c>
      <c r="B69" s="7">
        <v>8</v>
      </c>
      <c r="C69" s="3">
        <v>14</v>
      </c>
      <c r="D69" s="1">
        <v>1.14E-3</v>
      </c>
      <c r="E69" s="2"/>
      <c r="F69" s="1">
        <v>1.5899999999999999E-4</v>
      </c>
      <c r="G69" s="9">
        <v>1.7000000000000001E-4</v>
      </c>
      <c r="H69" s="1" t="str">
        <f t="shared" si="6"/>
        <v/>
      </c>
      <c r="I69" s="9">
        <f t="shared" si="7"/>
        <v>6.470588235294132</v>
      </c>
      <c r="J69" s="7">
        <f t="shared" si="8"/>
        <v>6.470588235294132</v>
      </c>
      <c r="K69" s="3" t="str">
        <f t="shared" si="9"/>
        <v/>
      </c>
      <c r="L69" s="1">
        <f t="shared" si="10"/>
        <v>-6.470588235294132</v>
      </c>
      <c r="M69" s="9">
        <f t="shared" si="11"/>
        <v>-6.470588235294132</v>
      </c>
    </row>
    <row r="70" spans="1:13" x14ac:dyDescent="0.3">
      <c r="A70" s="8" t="s">
        <v>24</v>
      </c>
      <c r="B70" s="7">
        <v>9</v>
      </c>
      <c r="C70" s="3">
        <v>26</v>
      </c>
      <c r="D70" s="1">
        <v>6.1499999999999999E-4</v>
      </c>
      <c r="E70" s="9">
        <v>6.1799999999999995E-4</v>
      </c>
      <c r="F70" s="1">
        <v>8.5400000000000002E-5</v>
      </c>
      <c r="G70" s="9">
        <v>9.0299999999999999E-5</v>
      </c>
      <c r="H70" s="1">
        <f t="shared" si="6"/>
        <v>0.48543689320387778</v>
      </c>
      <c r="I70" s="9">
        <f t="shared" si="7"/>
        <v>5.426356589147284</v>
      </c>
      <c r="J70" s="7">
        <f t="shared" si="8"/>
        <v>2.955896741175581</v>
      </c>
      <c r="K70" s="3">
        <f t="shared" si="9"/>
        <v>-0.48543689320387778</v>
      </c>
      <c r="L70" s="1">
        <f t="shared" si="10"/>
        <v>-5.426356589147284</v>
      </c>
      <c r="M70" s="9">
        <f t="shared" si="11"/>
        <v>-2.955896741175581</v>
      </c>
    </row>
    <row r="71" spans="1:13" x14ac:dyDescent="0.3">
      <c r="A71" s="8" t="s">
        <v>25</v>
      </c>
      <c r="B71" s="7">
        <v>1</v>
      </c>
      <c r="C71" s="3">
        <v>1</v>
      </c>
      <c r="D71" s="1">
        <v>1.6E-2</v>
      </c>
      <c r="E71" s="2"/>
      <c r="F71" s="1">
        <v>2.2200000000000002E-3</v>
      </c>
      <c r="G71" s="2"/>
      <c r="H71" s="1" t="str">
        <f t="shared" si="6"/>
        <v/>
      </c>
      <c r="I71" s="9" t="str">
        <f t="shared" si="7"/>
        <v/>
      </c>
      <c r="J71" s="7" t="str">
        <f t="shared" si="8"/>
        <v/>
      </c>
      <c r="K71" s="3" t="str">
        <f t="shared" si="9"/>
        <v/>
      </c>
      <c r="L71" s="1" t="str">
        <f t="shared" si="10"/>
        <v/>
      </c>
      <c r="M71" s="9" t="str">
        <f t="shared" si="11"/>
        <v/>
      </c>
    </row>
    <row r="72" spans="1:13" x14ac:dyDescent="0.3">
      <c r="A72" s="8" t="s">
        <v>25</v>
      </c>
      <c r="B72" s="7">
        <v>2</v>
      </c>
      <c r="C72" s="3">
        <v>2</v>
      </c>
      <c r="D72" s="1">
        <v>8.0000000000000002E-3</v>
      </c>
      <c r="E72" s="2"/>
      <c r="F72" s="1">
        <v>1.1100000000000001E-3</v>
      </c>
      <c r="G72" s="2"/>
      <c r="H72" s="1" t="str">
        <f t="shared" si="6"/>
        <v/>
      </c>
      <c r="I72" s="9" t="str">
        <f t="shared" si="7"/>
        <v/>
      </c>
      <c r="J72" s="7" t="str">
        <f t="shared" si="8"/>
        <v/>
      </c>
      <c r="K72" s="3" t="str">
        <f t="shared" si="9"/>
        <v/>
      </c>
      <c r="L72" s="1" t="str">
        <f t="shared" si="10"/>
        <v/>
      </c>
      <c r="M72" s="9" t="str">
        <f t="shared" si="11"/>
        <v/>
      </c>
    </row>
    <row r="73" spans="1:13" x14ac:dyDescent="0.3">
      <c r="A73" s="8" t="s">
        <v>25</v>
      </c>
      <c r="B73" s="7">
        <v>3</v>
      </c>
      <c r="C73" s="3">
        <v>3</v>
      </c>
      <c r="D73" s="1">
        <v>5.3299999999999997E-3</v>
      </c>
      <c r="E73" s="2"/>
      <c r="F73" s="1">
        <v>7.3999999999999999E-4</v>
      </c>
      <c r="G73" s="9">
        <v>7.6099999999999996E-4</v>
      </c>
      <c r="H73" s="1" t="str">
        <f t="shared" si="6"/>
        <v/>
      </c>
      <c r="I73" s="9">
        <f t="shared" si="7"/>
        <v>2.759526938239155</v>
      </c>
      <c r="J73" s="7">
        <f t="shared" si="8"/>
        <v>2.759526938239155</v>
      </c>
      <c r="K73" s="3" t="str">
        <f t="shared" si="9"/>
        <v/>
      </c>
      <c r="L73" s="1">
        <f t="shared" si="10"/>
        <v>-2.759526938239155</v>
      </c>
      <c r="M73" s="9">
        <f t="shared" si="11"/>
        <v>-2.759526938239155</v>
      </c>
    </row>
    <row r="74" spans="1:13" x14ac:dyDescent="0.3">
      <c r="A74" s="8" t="s">
        <v>25</v>
      </c>
      <c r="B74" s="7">
        <v>4</v>
      </c>
      <c r="C74" s="3">
        <v>4</v>
      </c>
      <c r="D74" s="1">
        <v>4.0000000000000001E-3</v>
      </c>
      <c r="E74" s="2"/>
      <c r="F74" s="1">
        <v>5.5500000000000005E-4</v>
      </c>
      <c r="G74" s="9">
        <v>5.7300000000000005E-4</v>
      </c>
      <c r="H74" s="1" t="str">
        <f t="shared" si="6"/>
        <v/>
      </c>
      <c r="I74" s="9">
        <f t="shared" si="7"/>
        <v>3.1413612565445028</v>
      </c>
      <c r="J74" s="7">
        <f t="shared" si="8"/>
        <v>3.1413612565445028</v>
      </c>
      <c r="K74" s="3" t="str">
        <f t="shared" si="9"/>
        <v/>
      </c>
      <c r="L74" s="1">
        <f t="shared" si="10"/>
        <v>-3.1413612565445028</v>
      </c>
      <c r="M74" s="9">
        <f t="shared" si="11"/>
        <v>-3.1413612565445028</v>
      </c>
    </row>
    <row r="75" spans="1:13" x14ac:dyDescent="0.3">
      <c r="A75" s="8" t="s">
        <v>25</v>
      </c>
      <c r="B75" s="7">
        <v>5</v>
      </c>
      <c r="C75" s="3">
        <v>5</v>
      </c>
      <c r="D75" s="1">
        <v>3.2000000000000002E-3</v>
      </c>
      <c r="E75" s="2"/>
      <c r="F75" s="1">
        <v>4.44E-4</v>
      </c>
      <c r="G75" s="9">
        <v>4.6099999999999998E-4</v>
      </c>
      <c r="H75" s="1" t="str">
        <f t="shared" si="6"/>
        <v/>
      </c>
      <c r="I75" s="9">
        <f t="shared" si="7"/>
        <v>3.687635574837306</v>
      </c>
      <c r="J75" s="7">
        <f t="shared" si="8"/>
        <v>3.687635574837306</v>
      </c>
      <c r="K75" s="3" t="str">
        <f t="shared" si="9"/>
        <v/>
      </c>
      <c r="L75" s="1">
        <f t="shared" si="10"/>
        <v>-3.687635574837306</v>
      </c>
      <c r="M75" s="9">
        <f t="shared" si="11"/>
        <v>-3.687635574837306</v>
      </c>
    </row>
    <row r="76" spans="1:13" x14ac:dyDescent="0.3">
      <c r="A76" s="8" t="s">
        <v>25</v>
      </c>
      <c r="B76" s="7">
        <v>6</v>
      </c>
      <c r="C76" s="3">
        <v>6</v>
      </c>
      <c r="D76" s="1">
        <v>2.6700000000000001E-3</v>
      </c>
      <c r="E76" s="2"/>
      <c r="F76" s="1">
        <v>3.6999999999999999E-4</v>
      </c>
      <c r="G76" s="9">
        <v>3.8299999999999999E-4</v>
      </c>
      <c r="H76" s="1" t="str">
        <f t="shared" si="6"/>
        <v/>
      </c>
      <c r="I76" s="9">
        <f t="shared" si="7"/>
        <v>3.3942558746736271</v>
      </c>
      <c r="J76" s="7">
        <f t="shared" si="8"/>
        <v>3.3942558746736271</v>
      </c>
      <c r="K76" s="3" t="str">
        <f t="shared" si="9"/>
        <v/>
      </c>
      <c r="L76" s="1">
        <f t="shared" si="10"/>
        <v>-3.3942558746736271</v>
      </c>
      <c r="M76" s="9">
        <f t="shared" si="11"/>
        <v>-3.3942558746736271</v>
      </c>
    </row>
    <row r="77" spans="1:13" x14ac:dyDescent="0.3">
      <c r="A77" s="8" t="s">
        <v>25</v>
      </c>
      <c r="B77" s="7">
        <v>7</v>
      </c>
      <c r="C77" s="3">
        <v>8</v>
      </c>
      <c r="D77" s="1">
        <v>2E-3</v>
      </c>
      <c r="E77" s="2"/>
      <c r="F77" s="1">
        <v>2.7799999999999998E-4</v>
      </c>
      <c r="G77" s="9">
        <v>2.8800000000000001E-4</v>
      </c>
      <c r="H77" s="1" t="str">
        <f t="shared" si="6"/>
        <v/>
      </c>
      <c r="I77" s="9">
        <f t="shared" si="7"/>
        <v>3.4722222222222312</v>
      </c>
      <c r="J77" s="7">
        <f t="shared" si="8"/>
        <v>3.4722222222222312</v>
      </c>
      <c r="K77" s="3" t="str">
        <f t="shared" si="9"/>
        <v/>
      </c>
      <c r="L77" s="1">
        <f t="shared" si="10"/>
        <v>-3.4722222222222312</v>
      </c>
      <c r="M77" s="9">
        <f t="shared" si="11"/>
        <v>-3.4722222222222312</v>
      </c>
    </row>
    <row r="78" spans="1:13" x14ac:dyDescent="0.3">
      <c r="A78" s="8" t="s">
        <v>25</v>
      </c>
      <c r="B78" s="7">
        <v>8</v>
      </c>
      <c r="C78" s="3">
        <v>10</v>
      </c>
      <c r="D78" s="1">
        <v>1.6000000000000001E-3</v>
      </c>
      <c r="E78" s="9">
        <v>1.6100000000000001E-3</v>
      </c>
      <c r="F78" s="1">
        <v>2.22E-4</v>
      </c>
      <c r="G78" s="9">
        <v>2.3000000000000001E-4</v>
      </c>
      <c r="H78" s="1">
        <f t="shared" si="6"/>
        <v>0.62111801242236186</v>
      </c>
      <c r="I78" s="9">
        <f t="shared" si="7"/>
        <v>3.4782608695652195</v>
      </c>
      <c r="J78" s="7">
        <f t="shared" si="8"/>
        <v>2.0496894409937907</v>
      </c>
      <c r="K78" s="3">
        <f t="shared" si="9"/>
        <v>-0.62111801242236186</v>
      </c>
      <c r="L78" s="1">
        <f t="shared" si="10"/>
        <v>-3.4782608695652195</v>
      </c>
      <c r="M78" s="9">
        <f t="shared" si="11"/>
        <v>-2.0496894409937907</v>
      </c>
    </row>
    <row r="79" spans="1:13" x14ac:dyDescent="0.3">
      <c r="A79" s="8" t="s">
        <v>25</v>
      </c>
      <c r="B79" s="7">
        <v>9</v>
      </c>
      <c r="C79" s="3">
        <v>11</v>
      </c>
      <c r="D79" s="1">
        <v>1.4499999999999999E-3</v>
      </c>
      <c r="E79" s="9">
        <v>1.47E-3</v>
      </c>
      <c r="F79" s="1">
        <v>2.02E-4</v>
      </c>
      <c r="G79" s="9">
        <v>2.1000000000000001E-4</v>
      </c>
      <c r="H79" s="1">
        <f t="shared" si="6"/>
        <v>1.3605442176870783</v>
      </c>
      <c r="I79" s="9">
        <f t="shared" si="7"/>
        <v>3.8095238095238115</v>
      </c>
      <c r="J79" s="7">
        <f t="shared" si="8"/>
        <v>2.585034013605445</v>
      </c>
      <c r="K79" s="3">
        <f t="shared" si="9"/>
        <v>-1.3605442176870783</v>
      </c>
      <c r="L79" s="1">
        <f t="shared" si="10"/>
        <v>-3.8095238095238115</v>
      </c>
      <c r="M79" s="9">
        <f t="shared" si="11"/>
        <v>-2.585034013605445</v>
      </c>
    </row>
    <row r="80" spans="1:13" x14ac:dyDescent="0.3">
      <c r="A80" s="8" t="s">
        <v>25</v>
      </c>
      <c r="B80" s="7">
        <v>10</v>
      </c>
      <c r="C80" s="3">
        <v>29</v>
      </c>
      <c r="D80" s="1">
        <v>5.5199999999999997E-4</v>
      </c>
      <c r="E80" s="9">
        <v>5.5900000000000004E-4</v>
      </c>
      <c r="F80" s="1">
        <v>7.6600000000000005E-5</v>
      </c>
      <c r="G80" s="9">
        <v>8.0000000000000007E-5</v>
      </c>
      <c r="H80" s="1">
        <f t="shared" si="6"/>
        <v>1.2522361359570771</v>
      </c>
      <c r="I80" s="9">
        <f t="shared" si="7"/>
        <v>4.2500000000000009</v>
      </c>
      <c r="J80" s="7">
        <f t="shared" si="8"/>
        <v>2.7511180679785392</v>
      </c>
      <c r="K80" s="3">
        <f t="shared" si="9"/>
        <v>-1.2522361359570771</v>
      </c>
      <c r="L80" s="1">
        <f t="shared" si="10"/>
        <v>-4.2500000000000009</v>
      </c>
      <c r="M80" s="9">
        <f t="shared" si="11"/>
        <v>-2.7511180679785392</v>
      </c>
    </row>
    <row r="81" spans="1:13" x14ac:dyDescent="0.3">
      <c r="A81" s="8" t="s">
        <v>26</v>
      </c>
      <c r="B81" s="7">
        <v>1</v>
      </c>
      <c r="C81" s="3">
        <v>1</v>
      </c>
      <c r="D81" s="1">
        <v>1.6E-2</v>
      </c>
      <c r="E81" s="2"/>
      <c r="F81" s="1">
        <v>2.2200000000000002E-3</v>
      </c>
      <c r="G81" s="2"/>
      <c r="H81" s="1" t="str">
        <f t="shared" si="6"/>
        <v/>
      </c>
      <c r="I81" s="9" t="str">
        <f t="shared" si="7"/>
        <v/>
      </c>
      <c r="J81" s="7" t="str">
        <f t="shared" si="8"/>
        <v/>
      </c>
      <c r="K81" s="3" t="str">
        <f t="shared" si="9"/>
        <v/>
      </c>
      <c r="L81" s="1" t="str">
        <f t="shared" si="10"/>
        <v/>
      </c>
      <c r="M81" s="9" t="str">
        <f t="shared" si="11"/>
        <v/>
      </c>
    </row>
    <row r="82" spans="1:13" x14ac:dyDescent="0.3">
      <c r="A82" s="8" t="s">
        <v>26</v>
      </c>
      <c r="B82" s="7">
        <v>2</v>
      </c>
      <c r="C82" s="3">
        <v>2</v>
      </c>
      <c r="D82" s="1">
        <v>8.0000000000000002E-3</v>
      </c>
      <c r="E82" s="2"/>
      <c r="F82" s="1">
        <v>1.1100000000000001E-3</v>
      </c>
      <c r="G82" s="9">
        <v>1.1199999999999999E-3</v>
      </c>
      <c r="H82" s="1" t="str">
        <f t="shared" si="6"/>
        <v/>
      </c>
      <c r="I82" s="9">
        <f t="shared" si="7"/>
        <v>0.89285714285712592</v>
      </c>
      <c r="J82" s="7">
        <f t="shared" si="8"/>
        <v>0.89285714285712592</v>
      </c>
      <c r="K82" s="3" t="str">
        <f t="shared" si="9"/>
        <v/>
      </c>
      <c r="L82" s="1">
        <f t="shared" si="10"/>
        <v>-0.89285714285712592</v>
      </c>
      <c r="M82" s="9">
        <f t="shared" si="11"/>
        <v>-0.89285714285712592</v>
      </c>
    </row>
    <row r="83" spans="1:13" x14ac:dyDescent="0.3">
      <c r="A83" s="8" t="s">
        <v>26</v>
      </c>
      <c r="B83" s="7">
        <v>3</v>
      </c>
      <c r="C83" s="3">
        <v>3</v>
      </c>
      <c r="D83" s="1">
        <v>5.3299999999999997E-3</v>
      </c>
      <c r="E83" s="2"/>
      <c r="F83" s="1">
        <v>7.3999999999999999E-4</v>
      </c>
      <c r="G83" s="9">
        <v>7.5000000000000002E-4</v>
      </c>
      <c r="H83" s="1" t="str">
        <f t="shared" si="6"/>
        <v/>
      </c>
      <c r="I83" s="9">
        <f t="shared" si="7"/>
        <v>1.3333333333333368</v>
      </c>
      <c r="J83" s="7">
        <f t="shared" si="8"/>
        <v>1.3333333333333368</v>
      </c>
      <c r="K83" s="3" t="str">
        <f t="shared" si="9"/>
        <v/>
      </c>
      <c r="L83" s="1">
        <f t="shared" si="10"/>
        <v>-1.3333333333333368</v>
      </c>
      <c r="M83" s="9">
        <f t="shared" si="11"/>
        <v>-1.3333333333333368</v>
      </c>
    </row>
    <row r="84" spans="1:13" x14ac:dyDescent="0.3">
      <c r="A84" s="8" t="s">
        <v>26</v>
      </c>
      <c r="B84" s="7">
        <v>4</v>
      </c>
      <c r="C84" s="3">
        <v>4</v>
      </c>
      <c r="D84" s="1">
        <v>4.0000000000000001E-3</v>
      </c>
      <c r="E84" s="2"/>
      <c r="F84" s="1">
        <v>5.5500000000000005E-4</v>
      </c>
      <c r="G84" s="9">
        <v>5.6999999999999998E-4</v>
      </c>
      <c r="H84" s="1" t="str">
        <f t="shared" si="6"/>
        <v/>
      </c>
      <c r="I84" s="9">
        <f t="shared" si="7"/>
        <v>2.6315789473684092</v>
      </c>
      <c r="J84" s="7">
        <f t="shared" si="8"/>
        <v>2.6315789473684092</v>
      </c>
      <c r="K84" s="3" t="str">
        <f t="shared" si="9"/>
        <v/>
      </c>
      <c r="L84" s="1">
        <f t="shared" si="10"/>
        <v>-2.6315789473684092</v>
      </c>
      <c r="M84" s="9">
        <f t="shared" si="11"/>
        <v>-2.6315789473684092</v>
      </c>
    </row>
    <row r="85" spans="1:13" x14ac:dyDescent="0.3">
      <c r="A85" s="8" t="s">
        <v>26</v>
      </c>
      <c r="B85" s="7">
        <v>5</v>
      </c>
      <c r="C85" s="3">
        <v>5</v>
      </c>
      <c r="D85" s="1">
        <v>3.2000000000000002E-3</v>
      </c>
      <c r="E85" s="2"/>
      <c r="F85" s="1">
        <v>4.44E-4</v>
      </c>
      <c r="G85" s="9">
        <v>4.4999999999999999E-4</v>
      </c>
      <c r="H85" s="1" t="str">
        <f t="shared" si="6"/>
        <v/>
      </c>
      <c r="I85" s="9">
        <f t="shared" si="7"/>
        <v>1.3333333333333297</v>
      </c>
      <c r="J85" s="7">
        <f t="shared" si="8"/>
        <v>1.3333333333333297</v>
      </c>
      <c r="K85" s="3" t="str">
        <f t="shared" si="9"/>
        <v/>
      </c>
      <c r="L85" s="1">
        <f t="shared" si="10"/>
        <v>-1.3333333333333297</v>
      </c>
      <c r="M85" s="9">
        <f t="shared" si="11"/>
        <v>-1.3333333333333297</v>
      </c>
    </row>
    <row r="86" spans="1:13" x14ac:dyDescent="0.3">
      <c r="A86" s="8" t="s">
        <v>26</v>
      </c>
      <c r="B86" s="7">
        <v>6</v>
      </c>
      <c r="C86" s="3">
        <v>6</v>
      </c>
      <c r="D86" s="1">
        <v>2.6700000000000001E-3</v>
      </c>
      <c r="E86" s="2"/>
      <c r="F86" s="1">
        <v>3.6999999999999999E-4</v>
      </c>
      <c r="G86" s="9">
        <v>3.8000000000000002E-4</v>
      </c>
      <c r="H86" s="1" t="str">
        <f t="shared" si="6"/>
        <v/>
      </c>
      <c r="I86" s="9">
        <f t="shared" si="7"/>
        <v>2.6315789473684279</v>
      </c>
      <c r="J86" s="7">
        <f t="shared" si="8"/>
        <v>2.6315789473684279</v>
      </c>
      <c r="K86" s="3" t="str">
        <f t="shared" si="9"/>
        <v/>
      </c>
      <c r="L86" s="1">
        <f t="shared" si="10"/>
        <v>-2.6315789473684279</v>
      </c>
      <c r="M86" s="9">
        <f t="shared" si="11"/>
        <v>-2.6315789473684279</v>
      </c>
    </row>
    <row r="87" spans="1:13" x14ac:dyDescent="0.3">
      <c r="A87" s="8" t="s">
        <v>26</v>
      </c>
      <c r="B87" s="7">
        <v>7</v>
      </c>
      <c r="C87" s="3">
        <v>8</v>
      </c>
      <c r="D87" s="1">
        <v>2E-3</v>
      </c>
      <c r="E87" s="2"/>
      <c r="F87" s="1">
        <v>2.7799999999999998E-4</v>
      </c>
      <c r="G87" s="9">
        <v>2.9E-4</v>
      </c>
      <c r="H87" s="1" t="str">
        <f t="shared" si="6"/>
        <v/>
      </c>
      <c r="I87" s="9">
        <f t="shared" si="7"/>
        <v>4.137931034482766</v>
      </c>
      <c r="J87" s="7">
        <f t="shared" si="8"/>
        <v>4.137931034482766</v>
      </c>
      <c r="K87" s="3" t="str">
        <f t="shared" si="9"/>
        <v/>
      </c>
      <c r="L87" s="1">
        <f t="shared" si="10"/>
        <v>-4.137931034482766</v>
      </c>
      <c r="M87" s="9">
        <f t="shared" si="11"/>
        <v>-4.137931034482766</v>
      </c>
    </row>
    <row r="88" spans="1:13" x14ac:dyDescent="0.3">
      <c r="A88" s="8" t="s">
        <v>26</v>
      </c>
      <c r="B88" s="7">
        <v>8</v>
      </c>
      <c r="C88" s="3">
        <v>10</v>
      </c>
      <c r="D88" s="1">
        <v>1.6000000000000001E-3</v>
      </c>
      <c r="E88" s="9">
        <v>1.6100000000000001E-3</v>
      </c>
      <c r="F88" s="1">
        <v>2.22E-4</v>
      </c>
      <c r="G88" s="9">
        <v>2.3000000000000001E-4</v>
      </c>
      <c r="H88" s="1">
        <f t="shared" si="6"/>
        <v>0.62111801242236186</v>
      </c>
      <c r="I88" s="9">
        <f t="shared" si="7"/>
        <v>3.4782608695652195</v>
      </c>
      <c r="J88" s="7">
        <f t="shared" si="8"/>
        <v>2.0496894409937907</v>
      </c>
      <c r="K88" s="3">
        <f t="shared" si="9"/>
        <v>-0.62111801242236186</v>
      </c>
      <c r="L88" s="1">
        <f t="shared" si="10"/>
        <v>-3.4782608695652195</v>
      </c>
      <c r="M88" s="9">
        <f t="shared" si="11"/>
        <v>-2.0496894409937907</v>
      </c>
    </row>
    <row r="89" spans="1:13" x14ac:dyDescent="0.3">
      <c r="A89" s="8" t="s">
        <v>26</v>
      </c>
      <c r="B89" s="7">
        <v>9</v>
      </c>
      <c r="C89" s="3">
        <v>11</v>
      </c>
      <c r="D89" s="1">
        <v>1.4499999999999999E-3</v>
      </c>
      <c r="E89" s="9">
        <v>1.4599999999999999E-3</v>
      </c>
      <c r="F89" s="1">
        <v>2.02E-4</v>
      </c>
      <c r="G89" s="9">
        <v>2.1000000000000001E-4</v>
      </c>
      <c r="H89" s="1">
        <f t="shared" si="6"/>
        <v>0.68493150684931692</v>
      </c>
      <c r="I89" s="9">
        <f t="shared" si="7"/>
        <v>3.8095238095238115</v>
      </c>
      <c r="J89" s="7">
        <f t="shared" si="8"/>
        <v>2.2472276581865644</v>
      </c>
      <c r="K89" s="3">
        <f t="shared" si="9"/>
        <v>-0.68493150684931692</v>
      </c>
      <c r="L89" s="1">
        <f t="shared" si="10"/>
        <v>-3.8095238095238115</v>
      </c>
      <c r="M89" s="9">
        <f t="shared" si="11"/>
        <v>-2.2472276581865644</v>
      </c>
    </row>
    <row r="90" spans="1:13" x14ac:dyDescent="0.3">
      <c r="A90" s="8" t="s">
        <v>26</v>
      </c>
      <c r="B90" s="7">
        <v>10</v>
      </c>
      <c r="C90" s="3">
        <v>16</v>
      </c>
      <c r="D90" s="1">
        <v>1E-3</v>
      </c>
      <c r="E90" s="9">
        <v>1.01E-3</v>
      </c>
      <c r="F90" s="1">
        <v>1.3899999999999999E-4</v>
      </c>
      <c r="G90" s="9">
        <v>1.4999999999999999E-4</v>
      </c>
      <c r="H90" s="1">
        <f t="shared" si="6"/>
        <v>0.99009900990099264</v>
      </c>
      <c r="I90" s="9">
        <f t="shared" si="7"/>
        <v>7.3333333333333313</v>
      </c>
      <c r="J90" s="7">
        <f t="shared" si="8"/>
        <v>4.1617161716171616</v>
      </c>
      <c r="K90" s="3">
        <f t="shared" si="9"/>
        <v>-0.99009900990099264</v>
      </c>
      <c r="L90" s="1">
        <f t="shared" si="10"/>
        <v>-7.3333333333333313</v>
      </c>
      <c r="M90" s="9">
        <f t="shared" si="11"/>
        <v>-4.1617161716171616</v>
      </c>
    </row>
    <row r="91" spans="1:13" x14ac:dyDescent="0.3">
      <c r="A91" s="8" t="s">
        <v>27</v>
      </c>
      <c r="B91" s="7">
        <v>1</v>
      </c>
      <c r="C91" s="3">
        <v>1</v>
      </c>
      <c r="D91" s="1">
        <v>1.6E-2</v>
      </c>
      <c r="E91" s="2"/>
      <c r="F91" s="1">
        <v>2.2200000000000002E-3</v>
      </c>
      <c r="G91" s="2"/>
      <c r="H91" s="1" t="str">
        <f t="shared" si="6"/>
        <v/>
      </c>
      <c r="I91" s="9" t="str">
        <f t="shared" si="7"/>
        <v/>
      </c>
      <c r="J91" s="7" t="str">
        <f t="shared" si="8"/>
        <v/>
      </c>
      <c r="K91" s="3" t="str">
        <f t="shared" si="9"/>
        <v/>
      </c>
      <c r="L91" s="1" t="str">
        <f t="shared" si="10"/>
        <v/>
      </c>
      <c r="M91" s="9" t="str">
        <f t="shared" si="11"/>
        <v/>
      </c>
    </row>
    <row r="92" spans="1:13" x14ac:dyDescent="0.3">
      <c r="A92" s="8" t="s">
        <v>27</v>
      </c>
      <c r="B92" s="7">
        <v>2</v>
      </c>
      <c r="C92" s="3">
        <v>2</v>
      </c>
      <c r="D92" s="1">
        <v>8.0000000000000002E-3</v>
      </c>
      <c r="E92" s="2"/>
      <c r="F92" s="1">
        <v>1.1100000000000001E-3</v>
      </c>
      <c r="G92" s="9">
        <v>1.1199999999999999E-3</v>
      </c>
      <c r="H92" s="1" t="str">
        <f t="shared" si="6"/>
        <v/>
      </c>
      <c r="I92" s="9">
        <f t="shared" si="7"/>
        <v>0.89285714285712592</v>
      </c>
      <c r="J92" s="7">
        <f t="shared" si="8"/>
        <v>0.89285714285712592</v>
      </c>
      <c r="K92" s="3" t="str">
        <f t="shared" si="9"/>
        <v/>
      </c>
      <c r="L92" s="1">
        <f t="shared" si="10"/>
        <v>-0.89285714285712592</v>
      </c>
      <c r="M92" s="9">
        <f t="shared" si="11"/>
        <v>-0.89285714285712592</v>
      </c>
    </row>
    <row r="93" spans="1:13" x14ac:dyDescent="0.3">
      <c r="A93" s="8" t="s">
        <v>27</v>
      </c>
      <c r="B93" s="7">
        <v>3</v>
      </c>
      <c r="C93" s="3">
        <v>3</v>
      </c>
      <c r="D93" s="1">
        <v>5.3299999999999997E-3</v>
      </c>
      <c r="E93" s="2"/>
      <c r="F93" s="1">
        <v>7.3999999999999999E-4</v>
      </c>
      <c r="G93" s="9">
        <v>7.5000000000000002E-4</v>
      </c>
      <c r="H93" s="1" t="str">
        <f t="shared" si="6"/>
        <v/>
      </c>
      <c r="I93" s="9">
        <f t="shared" si="7"/>
        <v>1.3333333333333368</v>
      </c>
      <c r="J93" s="7">
        <f t="shared" si="8"/>
        <v>1.3333333333333368</v>
      </c>
      <c r="K93" s="3" t="str">
        <f t="shared" si="9"/>
        <v/>
      </c>
      <c r="L93" s="1">
        <f t="shared" si="10"/>
        <v>-1.3333333333333368</v>
      </c>
      <c r="M93" s="9">
        <f t="shared" si="11"/>
        <v>-1.3333333333333368</v>
      </c>
    </row>
    <row r="94" spans="1:13" x14ac:dyDescent="0.3">
      <c r="A94" s="8" t="s">
        <v>27</v>
      </c>
      <c r="B94" s="7">
        <v>4</v>
      </c>
      <c r="C94" s="3">
        <v>4</v>
      </c>
      <c r="D94" s="1">
        <v>4.0000000000000001E-3</v>
      </c>
      <c r="E94" s="2"/>
      <c r="F94" s="1">
        <v>5.5500000000000005E-4</v>
      </c>
      <c r="G94" s="9">
        <v>5.5999999999999995E-4</v>
      </c>
      <c r="H94" s="1" t="str">
        <f t="shared" si="6"/>
        <v/>
      </c>
      <c r="I94" s="9">
        <f t="shared" si="7"/>
        <v>0.89285714285712592</v>
      </c>
      <c r="J94" s="7">
        <f t="shared" si="8"/>
        <v>0.89285714285712592</v>
      </c>
      <c r="K94" s="3" t="str">
        <f t="shared" si="9"/>
        <v/>
      </c>
      <c r="L94" s="1">
        <f t="shared" si="10"/>
        <v>-0.89285714285712592</v>
      </c>
      <c r="M94" s="9">
        <f t="shared" si="11"/>
        <v>-0.89285714285712592</v>
      </c>
    </row>
    <row r="95" spans="1:13" x14ac:dyDescent="0.3">
      <c r="A95" s="8" t="s">
        <v>27</v>
      </c>
      <c r="B95" s="7">
        <v>5</v>
      </c>
      <c r="C95" s="3">
        <v>6</v>
      </c>
      <c r="D95" s="1">
        <v>2.6700000000000001E-3</v>
      </c>
      <c r="E95" s="2"/>
      <c r="F95" s="1">
        <v>3.6999999999999999E-4</v>
      </c>
      <c r="G95" s="9">
        <v>3.8000000000000002E-4</v>
      </c>
      <c r="H95" s="1" t="str">
        <f t="shared" si="6"/>
        <v/>
      </c>
      <c r="I95" s="9">
        <f t="shared" si="7"/>
        <v>2.6315789473684279</v>
      </c>
      <c r="J95" s="7">
        <f t="shared" si="8"/>
        <v>2.6315789473684279</v>
      </c>
      <c r="K95" s="3" t="str">
        <f t="shared" si="9"/>
        <v/>
      </c>
      <c r="L95" s="1">
        <f t="shared" si="10"/>
        <v>-2.6315789473684279</v>
      </c>
      <c r="M95" s="9">
        <f t="shared" si="11"/>
        <v>-2.6315789473684279</v>
      </c>
    </row>
    <row r="96" spans="1:13" x14ac:dyDescent="0.3">
      <c r="A96" s="8" t="s">
        <v>27</v>
      </c>
      <c r="B96" s="7">
        <v>6</v>
      </c>
      <c r="C96" s="3">
        <v>8</v>
      </c>
      <c r="D96" s="1">
        <v>2E-3</v>
      </c>
      <c r="E96" s="2"/>
      <c r="F96" s="1">
        <v>2.7799999999999998E-4</v>
      </c>
      <c r="G96" s="9">
        <v>2.9E-4</v>
      </c>
      <c r="H96" s="1" t="str">
        <f t="shared" si="6"/>
        <v/>
      </c>
      <c r="I96" s="9">
        <f t="shared" si="7"/>
        <v>4.137931034482766</v>
      </c>
      <c r="J96" s="7">
        <f t="shared" si="8"/>
        <v>4.137931034482766</v>
      </c>
      <c r="K96" s="3" t="str">
        <f t="shared" si="9"/>
        <v/>
      </c>
      <c r="L96" s="1">
        <f t="shared" si="10"/>
        <v>-4.137931034482766</v>
      </c>
      <c r="M96" s="9">
        <f t="shared" si="11"/>
        <v>-4.137931034482766</v>
      </c>
    </row>
    <row r="97" spans="1:13" x14ac:dyDescent="0.3">
      <c r="A97" s="8" t="s">
        <v>27</v>
      </c>
      <c r="B97" s="7">
        <v>7</v>
      </c>
      <c r="C97" s="3">
        <v>10</v>
      </c>
      <c r="D97" s="1">
        <v>1.6000000000000001E-3</v>
      </c>
      <c r="E97" s="9">
        <v>1.6100000000000001E-3</v>
      </c>
      <c r="F97" s="1">
        <v>2.22E-4</v>
      </c>
      <c r="G97" s="9">
        <v>2.3000000000000001E-4</v>
      </c>
      <c r="H97" s="1">
        <f t="shared" si="6"/>
        <v>0.62111801242236186</v>
      </c>
      <c r="I97" s="9">
        <f t="shared" si="7"/>
        <v>3.4782608695652195</v>
      </c>
      <c r="J97" s="7">
        <f t="shared" si="8"/>
        <v>2.0496894409937907</v>
      </c>
      <c r="K97" s="3">
        <f t="shared" si="9"/>
        <v>-0.62111801242236186</v>
      </c>
      <c r="L97" s="1">
        <f t="shared" si="10"/>
        <v>-3.4782608695652195</v>
      </c>
      <c r="M97" s="9">
        <f t="shared" si="11"/>
        <v>-2.0496894409937907</v>
      </c>
    </row>
    <row r="98" spans="1:13" x14ac:dyDescent="0.3">
      <c r="A98" s="8" t="s">
        <v>27</v>
      </c>
      <c r="B98" s="7">
        <v>8</v>
      </c>
      <c r="C98" s="3">
        <v>11</v>
      </c>
      <c r="D98" s="1">
        <v>1.4499999999999999E-3</v>
      </c>
      <c r="E98" s="9">
        <v>1.4599999999999999E-3</v>
      </c>
      <c r="F98" s="1">
        <v>2.02E-4</v>
      </c>
      <c r="G98" s="9">
        <v>2.1000000000000001E-4</v>
      </c>
      <c r="H98" s="1">
        <f t="shared" si="6"/>
        <v>0.68493150684931692</v>
      </c>
      <c r="I98" s="9">
        <f t="shared" si="7"/>
        <v>3.8095238095238115</v>
      </c>
      <c r="J98" s="7">
        <f t="shared" si="8"/>
        <v>2.2472276581865644</v>
      </c>
      <c r="K98" s="3">
        <f t="shared" si="9"/>
        <v>-0.68493150684931692</v>
      </c>
      <c r="L98" s="1">
        <f t="shared" si="10"/>
        <v>-3.8095238095238115</v>
      </c>
      <c r="M98" s="9">
        <f t="shared" si="11"/>
        <v>-2.2472276581865644</v>
      </c>
    </row>
    <row r="99" spans="1:13" x14ac:dyDescent="0.3">
      <c r="A99" s="8" t="s">
        <v>27</v>
      </c>
      <c r="B99" s="7">
        <v>9</v>
      </c>
      <c r="C99" s="3">
        <v>12</v>
      </c>
      <c r="D99" s="1">
        <v>1.33E-3</v>
      </c>
      <c r="E99" s="9">
        <v>1.34E-3</v>
      </c>
      <c r="F99" s="1">
        <v>1.85E-4</v>
      </c>
      <c r="G99" s="9">
        <v>2.0000000000000001E-4</v>
      </c>
      <c r="H99" s="1">
        <f t="shared" si="6"/>
        <v>0.74626865671641984</v>
      </c>
      <c r="I99" s="9">
        <f t="shared" si="7"/>
        <v>7.5000000000000062</v>
      </c>
      <c r="J99" s="7">
        <f t="shared" si="8"/>
        <v>4.1231343283582129</v>
      </c>
      <c r="K99" s="3">
        <f t="shared" si="9"/>
        <v>-0.74626865671641984</v>
      </c>
      <c r="L99" s="1">
        <f t="shared" si="10"/>
        <v>-7.5000000000000062</v>
      </c>
      <c r="M99" s="9">
        <f t="shared" si="11"/>
        <v>-4.1231343283582129</v>
      </c>
    </row>
    <row r="100" spans="1:13" x14ac:dyDescent="0.3">
      <c r="A100" s="8" t="s">
        <v>27</v>
      </c>
      <c r="B100" s="7">
        <v>10</v>
      </c>
      <c r="C100" s="3">
        <v>16</v>
      </c>
      <c r="D100" s="1">
        <v>1E-3</v>
      </c>
      <c r="E100" s="9">
        <v>1.01E-3</v>
      </c>
      <c r="F100" s="1">
        <v>1.3899999999999999E-4</v>
      </c>
      <c r="G100" s="9">
        <v>1.4999999999999999E-4</v>
      </c>
      <c r="H100" s="1">
        <f t="shared" si="6"/>
        <v>0.99009900990099264</v>
      </c>
      <c r="I100" s="9">
        <f t="shared" si="7"/>
        <v>7.3333333333333313</v>
      </c>
      <c r="J100" s="7">
        <f t="shared" si="8"/>
        <v>4.1617161716171616</v>
      </c>
      <c r="K100" s="3">
        <f t="shared" si="9"/>
        <v>-0.99009900990099264</v>
      </c>
      <c r="L100" s="1">
        <f t="shared" si="10"/>
        <v>-7.3333333333333313</v>
      </c>
      <c r="M100" s="9">
        <f t="shared" si="11"/>
        <v>-4.1617161716171616</v>
      </c>
    </row>
    <row r="101" spans="1:13" x14ac:dyDescent="0.3">
      <c r="A101" s="8" t="s">
        <v>27</v>
      </c>
      <c r="B101" s="7">
        <v>11</v>
      </c>
      <c r="C101" s="3">
        <v>18</v>
      </c>
      <c r="D101" s="1">
        <v>8.8900000000000003E-4</v>
      </c>
      <c r="E101" s="9">
        <v>8.9999999999999998E-4</v>
      </c>
      <c r="F101" s="1">
        <v>1.2300000000000001E-4</v>
      </c>
      <c r="G101" s="9">
        <v>1.2999999999999999E-4</v>
      </c>
      <c r="H101" s="1">
        <f t="shared" si="6"/>
        <v>1.2222222222222159</v>
      </c>
      <c r="I101" s="9">
        <f t="shared" si="7"/>
        <v>5.3846153846153699</v>
      </c>
      <c r="J101" s="7">
        <f t="shared" si="8"/>
        <v>3.303418803418793</v>
      </c>
      <c r="K101" s="3">
        <f t="shared" si="9"/>
        <v>-1.2222222222222159</v>
      </c>
      <c r="L101" s="1">
        <f t="shared" si="10"/>
        <v>-5.3846153846153699</v>
      </c>
      <c r="M101" s="9">
        <f t="shared" si="11"/>
        <v>-3.303418803418793</v>
      </c>
    </row>
    <row r="102" spans="1:13" x14ac:dyDescent="0.3">
      <c r="A102" s="8" t="s">
        <v>28</v>
      </c>
      <c r="B102" s="7">
        <v>1</v>
      </c>
      <c r="C102" s="3">
        <v>1</v>
      </c>
      <c r="D102" s="1">
        <v>1.6E-2</v>
      </c>
      <c r="E102" s="2"/>
      <c r="F102" s="1">
        <v>2.2200000000000002E-3</v>
      </c>
      <c r="G102" s="2"/>
      <c r="H102" s="1" t="str">
        <f t="shared" si="6"/>
        <v/>
      </c>
      <c r="I102" s="9" t="str">
        <f t="shared" si="7"/>
        <v/>
      </c>
      <c r="J102" s="7" t="str">
        <f t="shared" si="8"/>
        <v/>
      </c>
      <c r="K102" s="3" t="str">
        <f t="shared" si="9"/>
        <v/>
      </c>
      <c r="L102" s="1" t="str">
        <f t="shared" si="10"/>
        <v/>
      </c>
      <c r="M102" s="9" t="str">
        <f t="shared" si="11"/>
        <v/>
      </c>
    </row>
    <row r="103" spans="1:13" x14ac:dyDescent="0.3">
      <c r="A103" s="8" t="s">
        <v>28</v>
      </c>
      <c r="B103" s="7">
        <v>2</v>
      </c>
      <c r="C103" s="3">
        <v>2</v>
      </c>
      <c r="D103" s="1">
        <v>8.0000000000000002E-3</v>
      </c>
      <c r="E103" s="2"/>
      <c r="F103" s="1">
        <v>1.1100000000000001E-3</v>
      </c>
      <c r="G103" s="9">
        <v>1.1199999999999999E-3</v>
      </c>
      <c r="H103" s="1" t="str">
        <f t="shared" si="6"/>
        <v/>
      </c>
      <c r="I103" s="9">
        <f t="shared" si="7"/>
        <v>0.89285714285712592</v>
      </c>
      <c r="J103" s="7">
        <f t="shared" si="8"/>
        <v>0.89285714285712592</v>
      </c>
      <c r="K103" s="3" t="str">
        <f t="shared" si="9"/>
        <v/>
      </c>
      <c r="L103" s="1">
        <f t="shared" si="10"/>
        <v>-0.89285714285712592</v>
      </c>
      <c r="M103" s="9">
        <f t="shared" si="11"/>
        <v>-0.89285714285712592</v>
      </c>
    </row>
    <row r="104" spans="1:13" x14ac:dyDescent="0.3">
      <c r="A104" s="8" t="s">
        <v>28</v>
      </c>
      <c r="B104" s="7">
        <v>3</v>
      </c>
      <c r="C104" s="3">
        <v>3</v>
      </c>
      <c r="D104" s="1">
        <v>5.3299999999999997E-3</v>
      </c>
      <c r="E104" s="2"/>
      <c r="F104" s="1">
        <v>7.3999999999999999E-4</v>
      </c>
      <c r="G104" s="9">
        <v>7.5000000000000002E-4</v>
      </c>
      <c r="H104" s="1" t="str">
        <f t="shared" si="6"/>
        <v/>
      </c>
      <c r="I104" s="9">
        <f t="shared" si="7"/>
        <v>1.3333333333333368</v>
      </c>
      <c r="J104" s="7">
        <f t="shared" si="8"/>
        <v>1.3333333333333368</v>
      </c>
      <c r="K104" s="3" t="str">
        <f t="shared" si="9"/>
        <v/>
      </c>
      <c r="L104" s="1">
        <f t="shared" si="10"/>
        <v>-1.3333333333333368</v>
      </c>
      <c r="M104" s="9">
        <f t="shared" si="11"/>
        <v>-1.3333333333333368</v>
      </c>
    </row>
    <row r="105" spans="1:13" x14ac:dyDescent="0.3">
      <c r="A105" s="8" t="s">
        <v>28</v>
      </c>
      <c r="B105" s="7">
        <v>4</v>
      </c>
      <c r="C105" s="3">
        <v>4</v>
      </c>
      <c r="D105" s="1">
        <v>4.0000000000000001E-3</v>
      </c>
      <c r="E105" s="2"/>
      <c r="F105" s="1">
        <v>5.5500000000000005E-4</v>
      </c>
      <c r="G105" s="9">
        <v>5.6999999999999998E-4</v>
      </c>
      <c r="H105" s="1" t="str">
        <f t="shared" si="6"/>
        <v/>
      </c>
      <c r="I105" s="9">
        <f t="shared" si="7"/>
        <v>2.6315789473684092</v>
      </c>
      <c r="J105" s="7">
        <f t="shared" si="8"/>
        <v>2.6315789473684092</v>
      </c>
      <c r="K105" s="3" t="str">
        <f t="shared" si="9"/>
        <v/>
      </c>
      <c r="L105" s="1">
        <f t="shared" si="10"/>
        <v>-2.6315789473684092</v>
      </c>
      <c r="M105" s="9">
        <f t="shared" si="11"/>
        <v>-2.6315789473684092</v>
      </c>
    </row>
    <row r="106" spans="1:13" x14ac:dyDescent="0.3">
      <c r="A106" s="8" t="s">
        <v>28</v>
      </c>
      <c r="B106" s="7">
        <v>5</v>
      </c>
      <c r="C106" s="3">
        <v>6</v>
      </c>
      <c r="D106" s="1">
        <v>2.6700000000000001E-3</v>
      </c>
      <c r="E106" s="2"/>
      <c r="F106" s="1">
        <v>3.6999999999999999E-4</v>
      </c>
      <c r="G106" s="9">
        <v>3.8000000000000002E-4</v>
      </c>
      <c r="H106" s="1" t="str">
        <f t="shared" si="6"/>
        <v/>
      </c>
      <c r="I106" s="9">
        <f t="shared" si="7"/>
        <v>2.6315789473684279</v>
      </c>
      <c r="J106" s="7">
        <f t="shared" si="8"/>
        <v>2.6315789473684279</v>
      </c>
      <c r="K106" s="3" t="str">
        <f t="shared" si="9"/>
        <v/>
      </c>
      <c r="L106" s="1">
        <f t="shared" si="10"/>
        <v>-2.6315789473684279</v>
      </c>
      <c r="M106" s="9">
        <f t="shared" si="11"/>
        <v>-2.6315789473684279</v>
      </c>
    </row>
    <row r="107" spans="1:13" x14ac:dyDescent="0.3">
      <c r="A107" s="8" t="s">
        <v>28</v>
      </c>
      <c r="B107" s="7">
        <v>6</v>
      </c>
      <c r="C107" s="3">
        <v>10</v>
      </c>
      <c r="D107" s="1">
        <v>1.6000000000000001E-3</v>
      </c>
      <c r="E107" s="2"/>
      <c r="F107" s="1">
        <v>2.22E-4</v>
      </c>
      <c r="G107" s="9">
        <v>2.3000000000000001E-4</v>
      </c>
      <c r="H107" s="1" t="str">
        <f t="shared" si="6"/>
        <v/>
      </c>
      <c r="I107" s="9">
        <f t="shared" si="7"/>
        <v>3.4782608695652195</v>
      </c>
      <c r="J107" s="7">
        <f t="shared" si="8"/>
        <v>3.4782608695652195</v>
      </c>
      <c r="K107" s="3" t="str">
        <f t="shared" si="9"/>
        <v/>
      </c>
      <c r="L107" s="1">
        <f t="shared" si="10"/>
        <v>-3.4782608695652195</v>
      </c>
      <c r="M107" s="9">
        <f t="shared" si="11"/>
        <v>-3.4782608695652195</v>
      </c>
    </row>
    <row r="108" spans="1:13" x14ac:dyDescent="0.3">
      <c r="A108" s="8" t="s">
        <v>28</v>
      </c>
      <c r="B108" s="7">
        <v>7</v>
      </c>
      <c r="C108" s="3">
        <v>11</v>
      </c>
      <c r="D108" s="1">
        <v>1.4499999999999999E-3</v>
      </c>
      <c r="E108" s="9">
        <v>1.47E-3</v>
      </c>
      <c r="F108" s="1">
        <v>2.02E-4</v>
      </c>
      <c r="G108" s="9">
        <v>2.1000000000000001E-4</v>
      </c>
      <c r="H108" s="1">
        <f t="shared" si="6"/>
        <v>1.3605442176870783</v>
      </c>
      <c r="I108" s="9">
        <f t="shared" si="7"/>
        <v>3.8095238095238115</v>
      </c>
      <c r="J108" s="7">
        <f t="shared" si="8"/>
        <v>2.585034013605445</v>
      </c>
      <c r="K108" s="3">
        <f t="shared" si="9"/>
        <v>-1.3605442176870783</v>
      </c>
      <c r="L108" s="1">
        <f t="shared" si="10"/>
        <v>-3.8095238095238115</v>
      </c>
      <c r="M108" s="9">
        <f t="shared" si="11"/>
        <v>-2.585034013605445</v>
      </c>
    </row>
    <row r="109" spans="1:13" x14ac:dyDescent="0.3">
      <c r="A109" s="8" t="s">
        <v>28</v>
      </c>
      <c r="B109" s="7">
        <v>8</v>
      </c>
      <c r="C109" s="3">
        <v>13</v>
      </c>
      <c r="D109" s="1">
        <v>1.23E-3</v>
      </c>
      <c r="E109" s="9">
        <v>1.24E-3</v>
      </c>
      <c r="F109" s="1">
        <v>1.7100000000000001E-4</v>
      </c>
      <c r="G109" s="9">
        <v>1.8000000000000001E-4</v>
      </c>
      <c r="H109" s="1">
        <f t="shared" si="6"/>
        <v>0.80645161290322798</v>
      </c>
      <c r="I109" s="9">
        <f t="shared" si="7"/>
        <v>5.0000000000000009</v>
      </c>
      <c r="J109" s="7">
        <f t="shared" si="8"/>
        <v>2.9032258064516143</v>
      </c>
      <c r="K109" s="3">
        <f t="shared" si="9"/>
        <v>-0.80645161290322798</v>
      </c>
      <c r="L109" s="1">
        <f t="shared" si="10"/>
        <v>-5.0000000000000009</v>
      </c>
      <c r="M109" s="9">
        <f t="shared" si="11"/>
        <v>-2.9032258064516143</v>
      </c>
    </row>
    <row r="110" spans="1:13" x14ac:dyDescent="0.3">
      <c r="A110" s="8" t="s">
        <v>28</v>
      </c>
      <c r="B110" s="7">
        <v>9</v>
      </c>
      <c r="C110" s="3">
        <v>14</v>
      </c>
      <c r="D110" s="1">
        <v>1.14E-3</v>
      </c>
      <c r="E110" s="9">
        <v>1.15E-3</v>
      </c>
      <c r="F110" s="1">
        <v>1.5899999999999999E-4</v>
      </c>
      <c r="G110" s="9">
        <v>1.5899999999999999E-4</v>
      </c>
      <c r="H110" s="1">
        <f t="shared" si="6"/>
        <v>0.86956521739130666</v>
      </c>
      <c r="I110" s="9">
        <f t="shared" si="7"/>
        <v>0</v>
      </c>
      <c r="J110" s="7">
        <f t="shared" si="8"/>
        <v>0.43478260869565333</v>
      </c>
      <c r="K110" s="3">
        <f t="shared" si="9"/>
        <v>-0.86956521739130666</v>
      </c>
      <c r="L110" s="1">
        <f t="shared" si="10"/>
        <v>0</v>
      </c>
      <c r="M110" s="9">
        <f t="shared" si="11"/>
        <v>-0.43478260869565333</v>
      </c>
    </row>
    <row r="111" spans="1:13" x14ac:dyDescent="0.3">
      <c r="A111" s="8" t="s">
        <v>28</v>
      </c>
      <c r="B111" s="7">
        <v>10</v>
      </c>
      <c r="C111" s="3">
        <v>15</v>
      </c>
      <c r="D111" s="1">
        <v>1.07E-3</v>
      </c>
      <c r="E111" s="9">
        <v>1.08E-3</v>
      </c>
      <c r="F111" s="1">
        <v>1.4799999999999999E-4</v>
      </c>
      <c r="G111" s="9">
        <v>1.6000000000000001E-4</v>
      </c>
      <c r="H111" s="1">
        <f t="shared" si="6"/>
        <v>0.92592592592592837</v>
      </c>
      <c r="I111" s="9">
        <f t="shared" si="7"/>
        <v>7.5000000000000124</v>
      </c>
      <c r="J111" s="7">
        <f t="shared" si="8"/>
        <v>4.2129629629629708</v>
      </c>
      <c r="K111" s="3">
        <f t="shared" si="9"/>
        <v>-0.92592592592592837</v>
      </c>
      <c r="L111" s="1">
        <f t="shared" si="10"/>
        <v>-7.5000000000000124</v>
      </c>
      <c r="M111" s="9">
        <f t="shared" si="11"/>
        <v>-4.2129629629629708</v>
      </c>
    </row>
    <row r="112" spans="1:13" x14ac:dyDescent="0.3">
      <c r="A112" s="8" t="s">
        <v>28</v>
      </c>
      <c r="B112" s="7">
        <v>11</v>
      </c>
      <c r="C112" s="3">
        <v>17</v>
      </c>
      <c r="D112" s="1">
        <v>9.41E-4</v>
      </c>
      <c r="E112" s="9">
        <v>9.5E-4</v>
      </c>
      <c r="F112" s="1">
        <v>1.3100000000000001E-4</v>
      </c>
      <c r="G112" s="9">
        <v>1.3999999999999999E-4</v>
      </c>
      <c r="H112" s="1">
        <f t="shared" si="6"/>
        <v>0.94736842105263175</v>
      </c>
      <c r="I112" s="9">
        <f t="shared" si="7"/>
        <v>6.4285714285714111</v>
      </c>
      <c r="J112" s="7">
        <f t="shared" si="8"/>
        <v>3.6879699248120215</v>
      </c>
      <c r="K112" s="3">
        <f t="shared" si="9"/>
        <v>-0.94736842105263175</v>
      </c>
      <c r="L112" s="1">
        <f t="shared" si="10"/>
        <v>-6.4285714285714111</v>
      </c>
      <c r="M112" s="9">
        <f t="shared" si="11"/>
        <v>-3.6879699248120215</v>
      </c>
    </row>
    <row r="113" spans="1:13" x14ac:dyDescent="0.3">
      <c r="A113" s="8" t="s">
        <v>28</v>
      </c>
      <c r="B113" s="7">
        <v>12</v>
      </c>
      <c r="C113" s="3">
        <v>20</v>
      </c>
      <c r="D113" s="1">
        <v>8.0000000000000004E-4</v>
      </c>
      <c r="E113" s="9">
        <v>8.0999999999999996E-4</v>
      </c>
      <c r="F113" s="1">
        <v>1.11E-4</v>
      </c>
      <c r="G113" s="9">
        <v>1.2E-4</v>
      </c>
      <c r="H113" s="1">
        <f t="shared" si="6"/>
        <v>1.2345679012345578</v>
      </c>
      <c r="I113" s="9">
        <f t="shared" si="7"/>
        <v>7.5000000000000018</v>
      </c>
      <c r="J113" s="7">
        <f t="shared" si="8"/>
        <v>4.3672839506172796</v>
      </c>
      <c r="K113" s="3">
        <f t="shared" si="9"/>
        <v>-1.2345679012345578</v>
      </c>
      <c r="L113" s="1">
        <f t="shared" si="10"/>
        <v>-7.5000000000000018</v>
      </c>
      <c r="M113" s="9">
        <f t="shared" si="11"/>
        <v>-4.3672839506172796</v>
      </c>
    </row>
    <row r="114" spans="1:13" x14ac:dyDescent="0.3">
      <c r="A114" s="8" t="s">
        <v>32</v>
      </c>
      <c r="B114" s="7">
        <v>1</v>
      </c>
      <c r="C114" s="3">
        <v>1</v>
      </c>
      <c r="D114" s="1">
        <v>1.6E-2</v>
      </c>
      <c r="E114" s="2"/>
      <c r="F114" s="1">
        <v>2.2200000000000002E-3</v>
      </c>
      <c r="G114" s="2"/>
      <c r="H114" s="1" t="str">
        <f t="shared" si="6"/>
        <v/>
      </c>
      <c r="I114" s="9" t="str">
        <f t="shared" si="7"/>
        <v/>
      </c>
      <c r="J114" s="7" t="str">
        <f t="shared" si="8"/>
        <v/>
      </c>
      <c r="K114" s="3" t="str">
        <f t="shared" si="9"/>
        <v/>
      </c>
      <c r="L114" s="1" t="str">
        <f t="shared" si="10"/>
        <v/>
      </c>
      <c r="M114" s="9" t="str">
        <f t="shared" si="11"/>
        <v/>
      </c>
    </row>
    <row r="115" spans="1:13" x14ac:dyDescent="0.3">
      <c r="A115" s="8" t="s">
        <v>32</v>
      </c>
      <c r="B115" s="7">
        <v>2</v>
      </c>
      <c r="C115" s="3">
        <v>99</v>
      </c>
      <c r="D115" s="1">
        <v>1.6200000000000001E-4</v>
      </c>
      <c r="E115" s="9">
        <v>1.7000000000000001E-4</v>
      </c>
      <c r="F115" s="1">
        <v>2.2399999999999999E-5</v>
      </c>
      <c r="G115" s="9">
        <v>3.0000000000000001E-5</v>
      </c>
      <c r="H115" s="1">
        <f t="shared" si="6"/>
        <v>4.7058823529411793</v>
      </c>
      <c r="I115" s="9">
        <f t="shared" si="7"/>
        <v>25.333333333333339</v>
      </c>
      <c r="J115" s="7">
        <f t="shared" si="8"/>
        <v>15.019607843137258</v>
      </c>
      <c r="K115" s="3">
        <f t="shared" si="9"/>
        <v>-4.7058823529411793</v>
      </c>
      <c r="L115" s="1">
        <f t="shared" si="10"/>
        <v>-25.333333333333339</v>
      </c>
      <c r="M115" s="9">
        <f t="shared" si="11"/>
        <v>-15.019607843137258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Rossler system </vt:lpstr>
      <vt:lpstr>mChialvo system </vt:lpstr>
      <vt:lpstr>Henon system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Smart Ambulance</cp:lastModifiedBy>
  <dcterms:created xsi:type="dcterms:W3CDTF">2025-12-08T06:06:10Z</dcterms:created>
  <dcterms:modified xsi:type="dcterms:W3CDTF">2026-09-15T10:52:48Z</dcterms:modified>
</cp:coreProperties>
</file>